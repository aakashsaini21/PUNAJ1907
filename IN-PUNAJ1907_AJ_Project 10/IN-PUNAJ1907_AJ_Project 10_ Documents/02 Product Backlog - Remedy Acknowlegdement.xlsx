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Default Extension="doc" ContentType="application/msword"/>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2.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checkCompatibility="1"/>
  <mc:AlternateContent xmlns:mc="http://schemas.openxmlformats.org/markup-compatibility/2006">
    <mc:Choice Requires="x15">
      <x15ac:absPath xmlns:x15ac="http://schemas.microsoft.com/office/spreadsheetml/2010/11/ac" url="C:\Users\768831\Desktop\fwdartifacts\"/>
    </mc:Choice>
  </mc:AlternateContent>
  <bookViews>
    <workbookView xWindow="0" yWindow="0" windowWidth="28800" windowHeight="12300" tabRatio="711" activeTab="8"/>
  </bookViews>
  <sheets>
    <sheet name="Cover Page" sheetId="9" r:id="rId1"/>
    <sheet name="Instructions" sheetId="11" r:id="rId2"/>
    <sheet name="Product Backlog" sheetId="12" r:id="rId3"/>
    <sheet name="Product - Release Tracking" sheetId="13" r:id="rId4"/>
    <sheet name="Report Data" sheetId="14" r:id="rId5"/>
    <sheet name="Release Burn Down Chart" sheetId="15" r:id="rId6"/>
    <sheet name="Effort By Iteration" sheetId="16" r:id="rId7"/>
    <sheet name="WSJF Technique" sheetId="17" r:id="rId8"/>
    <sheet name="Change Log" sheetId="10" r:id="rId9"/>
  </sheets>
  <externalReferences>
    <externalReference r:id="rId10"/>
    <externalReference r:id="rId11"/>
    <externalReference r:id="rId12"/>
    <externalReference r:id="rId13"/>
  </externalReferences>
  <definedNames>
    <definedName name="ActualBurnDown" localSheetId="1">#REF!</definedName>
    <definedName name="ActualBurnDown">#REF!</definedName>
    <definedName name="ad">#REF!</definedName>
    <definedName name="BusinessValue">#REF!</definedName>
    <definedName name="Calc_sens2" localSheetId="1">[1]!Calc_sens2</definedName>
    <definedName name="Calc_sens2" localSheetId="3">[1]!Calc_sens2</definedName>
    <definedName name="Calc_sens2">[1]!Calc_sens2</definedName>
    <definedName name="Category">#REF!</definedName>
    <definedName name="cause" localSheetId="1">#REF!</definedName>
    <definedName name="cause" localSheetId="3">#REF!</definedName>
    <definedName name="cause" localSheetId="2">#REF!</definedName>
    <definedName name="cause" localSheetId="4">#REF!</definedName>
    <definedName name="cause">#REF!</definedName>
    <definedName name="Clear_sens2" localSheetId="1">[1]!Clear_sens2</definedName>
    <definedName name="Clear_sens2" localSheetId="3">[1]!Clear_sens2</definedName>
    <definedName name="Clear_sens2">[1]!Clear_sens2</definedName>
    <definedName name="Comments" localSheetId="1">#REF!</definedName>
    <definedName name="Comments" localSheetId="3">#REF!</definedName>
    <definedName name="Comments" localSheetId="2">#REF!</definedName>
    <definedName name="Comments" localSheetId="4">#REF!</definedName>
    <definedName name="Comments">#REF!</definedName>
    <definedName name="Creator">#REF!</definedName>
    <definedName name="CRPriority">[2]Data!$B$2:$B$4</definedName>
    <definedName name="CRStatus">[2]Data!$A$2:$A$8</definedName>
    <definedName name="Iteration">#REF!</definedName>
    <definedName name="Ltst_TestLog">"'Test log'"</definedName>
    <definedName name="_xlnm.Print_Area" localSheetId="7">'WSJF Technique'!$A$1:$F$2</definedName>
    <definedName name="_xlnm.Print_Titles" localSheetId="3">'Product - Release Tracking'!$2:$2</definedName>
    <definedName name="_xlnm.Print_Titles" localSheetId="2">'Product Backlog'!$2:$2</definedName>
    <definedName name="Priority">#REF!</definedName>
    <definedName name="Quality_Records">#REF!</definedName>
    <definedName name="Resolution" localSheetId="1">[3]QTDSCMP_Data!#REF!</definedName>
    <definedName name="Resolution" localSheetId="3">[3]QTDSCMP_Data!#REF!</definedName>
    <definedName name="Resolution">[3]QTDSCMP_Data!#REF!</definedName>
    <definedName name="Risk">#REF!</definedName>
    <definedName name="SCIReference" localSheetId="1">[3]QTDSCMP_Data!#REF!</definedName>
    <definedName name="SCIReference" localSheetId="3">[3]QTDSCMP_Data!#REF!</definedName>
    <definedName name="SCIReference">[3]QTDSCMP_Data!#REF!</definedName>
    <definedName name="SCIStatus" localSheetId="1">[3]QTDSCMP_Data!#REF!</definedName>
    <definedName name="SCIStatus" localSheetId="3">[3]QTDSCMP_Data!#REF!</definedName>
    <definedName name="SCIStatus">[3]QTDSCMP_Data!#REF!</definedName>
    <definedName name="SCITools" localSheetId="1">[3]QTDSCMP_Data!#REF!</definedName>
    <definedName name="SCITools" localSheetId="3">[3]QTDSCMP_Data!#REF!</definedName>
    <definedName name="SCITools">[3]QTDSCMP_Data!#REF!</definedName>
    <definedName name="SCM_Access" localSheetId="1">[4]User_Groups_Access!#REF!</definedName>
    <definedName name="SCM_Access" localSheetId="3">[4]User_Groups_Access!#REF!</definedName>
    <definedName name="SCM_Access">[4]User_Groups_Access!#REF!</definedName>
    <definedName name="ScrumMaster" localSheetId="1">#REF!</definedName>
    <definedName name="ScrumMaster">#REF!</definedName>
    <definedName name="Severity" localSheetId="1">#REF!</definedName>
    <definedName name="Severity" localSheetId="3">#REF!</definedName>
    <definedName name="Severity" localSheetId="2">#REF!</definedName>
    <definedName name="Severity" localSheetId="4">#REF!</definedName>
    <definedName name="Severity">#REF!</definedName>
    <definedName name="Software_Configuration_Management_Team" localSheetId="1">'[4]SCM_Team&amp;ReleaseNumberingScheme'!#REF!</definedName>
    <definedName name="Software_Configuration_Management_Team" localSheetId="3">'[4]SCM_Team&amp;ReleaseNumberingScheme'!#REF!</definedName>
    <definedName name="Software_Configuration_Management_Team">'[4]SCM_Team&amp;ReleaseNumberingScheme'!#REF!</definedName>
    <definedName name="State_of_Origin" localSheetId="1">#REF!</definedName>
    <definedName name="State_of_Origin" localSheetId="3">#REF!</definedName>
    <definedName name="State_of_Origin" localSheetId="2">#REF!</definedName>
    <definedName name="State_of_Origin" localSheetId="4">#REF!</definedName>
    <definedName name="State_of_Origin">#REF!</definedName>
    <definedName name="Status">#REF!</definedName>
    <definedName name="Team">#REF!</definedName>
    <definedName name="Type">#REF!</definedName>
  </definedNames>
  <calcPr calcId="162913"/>
</workbook>
</file>

<file path=xl/calcChain.xml><?xml version="1.0" encoding="utf-8"?>
<calcChain xmlns="http://schemas.openxmlformats.org/spreadsheetml/2006/main">
  <c r="H8" i="17" l="1"/>
  <c r="H7" i="17"/>
  <c r="H6" i="17"/>
  <c r="Q22" i="13"/>
  <c r="P22" i="13"/>
  <c r="N22" i="13"/>
  <c r="R22" i="13" s="1"/>
  <c r="Q21" i="13"/>
  <c r="P21" i="13"/>
  <c r="N21" i="13"/>
  <c r="R21" i="13" s="1"/>
  <c r="Q20" i="13"/>
  <c r="P20" i="13"/>
  <c r="N20" i="13"/>
  <c r="R20" i="13" s="1"/>
  <c r="Q19" i="13"/>
  <c r="P19" i="13"/>
  <c r="N19" i="13"/>
  <c r="R19" i="13" s="1"/>
  <c r="Q18" i="13"/>
  <c r="P18" i="13"/>
  <c r="N18" i="13"/>
  <c r="R18" i="13" s="1"/>
  <c r="Q17" i="13"/>
  <c r="P17" i="13"/>
  <c r="N17" i="13"/>
  <c r="R17" i="13" s="1"/>
  <c r="Q16" i="13"/>
  <c r="P16" i="13"/>
  <c r="N16" i="13"/>
  <c r="R16" i="13" s="1"/>
  <c r="Q15" i="13"/>
  <c r="P15" i="13"/>
  <c r="N15" i="13"/>
  <c r="R15" i="13" s="1"/>
  <c r="R14" i="13"/>
  <c r="P14" i="13"/>
  <c r="N14" i="13"/>
  <c r="Q14" i="13" s="1"/>
  <c r="Q13" i="13"/>
  <c r="P13" i="13"/>
  <c r="N13" i="13"/>
  <c r="R13" i="13" s="1"/>
  <c r="Q12" i="13"/>
  <c r="P12" i="13"/>
  <c r="N12" i="13"/>
  <c r="R12" i="13" s="1"/>
  <c r="Q11" i="13"/>
  <c r="P11" i="13"/>
  <c r="N11" i="13"/>
  <c r="R11" i="13" s="1"/>
  <c r="Q10" i="13"/>
  <c r="P10" i="13"/>
  <c r="N10" i="13"/>
  <c r="R10" i="13" s="1"/>
  <c r="Q9" i="13"/>
  <c r="P9" i="13"/>
  <c r="N9" i="13"/>
  <c r="R9" i="13" s="1"/>
  <c r="Q8" i="13"/>
  <c r="P8" i="13"/>
  <c r="N8" i="13"/>
  <c r="R8" i="13" s="1"/>
  <c r="Q7" i="13"/>
  <c r="P7" i="13"/>
  <c r="N7" i="13"/>
  <c r="R7" i="13" s="1"/>
  <c r="Q6" i="13"/>
  <c r="P6" i="13"/>
  <c r="N6" i="13"/>
  <c r="R6" i="13" s="1"/>
  <c r="R5" i="13"/>
  <c r="P5" i="13"/>
  <c r="N5" i="13"/>
  <c r="Q5" i="13" s="1"/>
  <c r="R4" i="13"/>
  <c r="P4" i="13"/>
  <c r="N4" i="13"/>
  <c r="Q4" i="13" s="1"/>
  <c r="N23" i="13" l="1"/>
  <c r="F5" i="14"/>
  <c r="G6" i="14"/>
  <c r="A4" i="14"/>
  <c r="C4" i="14"/>
  <c r="A5" i="14"/>
  <c r="C5" i="14"/>
  <c r="E5" i="14"/>
  <c r="G5" i="14"/>
  <c r="A6" i="14"/>
  <c r="C6" i="14"/>
  <c r="E6" i="14"/>
  <c r="F6" i="14"/>
  <c r="B7" i="14"/>
  <c r="F7" i="14" s="1"/>
  <c r="C7" i="14"/>
  <c r="G7" i="14"/>
  <c r="F4" i="14" l="1"/>
  <c r="E4" i="14"/>
  <c r="G4" i="14"/>
  <c r="E7" i="14"/>
  <c r="A7" i="14"/>
  <c r="D4" i="14" l="1"/>
  <c r="D5" i="14" s="1"/>
  <c r="D6" i="14" s="1"/>
  <c r="D7" i="14" s="1"/>
</calcChain>
</file>

<file path=xl/comments1.xml><?xml version="1.0" encoding="utf-8"?>
<comments xmlns="http://schemas.openxmlformats.org/spreadsheetml/2006/main">
  <authors>
    <author>165550</author>
  </authors>
  <commentList>
    <comment ref="B7" authorId="0" shapeId="0">
      <text>
        <r>
          <rPr>
            <sz val="8"/>
            <color indexed="81"/>
            <rFont val="Tahoma"/>
            <family val="2"/>
          </rPr>
          <t>In order to indicate the end of all release iteration, leave this one as ="".  Otherwise, it won't calculate the non-assigned iterations properly.</t>
        </r>
      </text>
    </comment>
  </commentList>
</comments>
</file>

<file path=xl/sharedStrings.xml><?xml version="1.0" encoding="utf-8"?>
<sst xmlns="http://schemas.openxmlformats.org/spreadsheetml/2006/main" count="347" uniqueCount="185">
  <si>
    <t>Date</t>
  </si>
  <si>
    <t>Version Number</t>
  </si>
  <si>
    <t>Approved By</t>
  </si>
  <si>
    <t>Name</t>
  </si>
  <si>
    <t>Role</t>
  </si>
  <si>
    <t>Signature</t>
  </si>
  <si>
    <t>Change Log</t>
  </si>
  <si>
    <t>Please note that this table needs to be maintained even if a Configuration Management tool is used.</t>
  </si>
  <si>
    <t>V1.0</t>
  </si>
  <si>
    <t>C3: Protected</t>
  </si>
  <si>
    <t>&lt;SCI.ID&gt; / Ver: &lt;No.&gt;</t>
  </si>
  <si>
    <t>Page No.</t>
  </si>
  <si>
    <t>Changed By</t>
  </si>
  <si>
    <t>Effective Date</t>
  </si>
  <si>
    <t>Changes Effected</t>
  </si>
  <si>
    <t>V 1.2</t>
  </si>
  <si>
    <t>V 1.1</t>
  </si>
  <si>
    <t>Project ID: &lt;Project ID&gt;</t>
  </si>
  <si>
    <t>Changes Made</t>
  </si>
  <si>
    <t>Prepared By / Last Updated By</t>
  </si>
  <si>
    <t>Reviewed By</t>
  </si>
  <si>
    <t>Initial baseline created on &lt;dd-Mon-yy&gt; by &lt;Name of Author&gt;</t>
  </si>
  <si>
    <t>Product Backlog Worksheet</t>
  </si>
  <si>
    <t>This sheet has to be filled while doing "Create Product Backlog" task in the Initial Envisioning Phase.</t>
  </si>
  <si>
    <t>Fill the following fields in the product backlog worksheet for each feature set</t>
  </si>
  <si>
    <t>Sl.No</t>
  </si>
  <si>
    <t>&lt;Provide the Serial number for each product backlog item&gt;</t>
  </si>
  <si>
    <t>Feature Set/ Requirements ID</t>
  </si>
  <si>
    <t>&lt;Provide unique ID for each feature set/ requirement&gt;</t>
  </si>
  <si>
    <t>Short Description of Feature Set/ Feature</t>
  </si>
  <si>
    <t>&lt; Provide a short description of the Feature set/ Feature&gt;. 
A “Feature” is a small client valued functionality. 
A Feature set is a grouping of business-related features.</t>
  </si>
  <si>
    <t>Dependency of Feature Set/ Feature</t>
  </si>
  <si>
    <t>&lt;Provide the Dependency between the feature sets/ features&gt;</t>
  </si>
  <si>
    <t>Feature Owner</t>
  </si>
  <si>
    <t>&lt;Name the person(s) responsible for providing detailed information / clarifications on the Feature Set/ Requirements&gt;.</t>
  </si>
  <si>
    <t>Feature Complexity</t>
  </si>
  <si>
    <t>&lt;Classify the complexity of Feature Set/ Feature in terms of Trivial, Simple, Average, Complex&gt;</t>
  </si>
  <si>
    <t>Business Priority</t>
  </si>
  <si>
    <t>&lt;Provide the business priority of the Feature Set/ Feature in terms of Low, Medium, High&gt;</t>
  </si>
  <si>
    <t>Feature Type</t>
  </si>
  <si>
    <t>&lt;Classify the Feature Set/ Feature as New Requirement, Enhancement, Bug, Issue&gt;</t>
  </si>
  <si>
    <t>Remarks</t>
  </si>
  <si>
    <t>&lt;Provide the remarks/ comments for the feature set/ Feature`&gt;. E.g. Describe the assumptions made on the feature sets, its constraints, etc</t>
  </si>
  <si>
    <t>Product Backlog Release Tracking Worksheet</t>
  </si>
  <si>
    <t>The Product backlog worksheet contains a list of everything (Features, known issues, bugs etc) that the business would want to implement in an application. This worksheet would continue to exist from the beginning to the end of the project. The Product Owner maintains it by adding, modifying, removing any of the items listed there. They can also change the priority of the items so long as they are not being worked by the team in the ongoing Sprint. Most of the re-ordering would happen just before the Sprint Planning meeting. To ensure this kind of continuous update, this worksheet could be re-visited during periodic intervals once during the release elaboration Phase and thereafter during the project execution. The changes to the Product backlog could be triggered from several sources in terms of inclusion of new features / bugs/ known issues based on the stakeholder requests  and the effort, schedule for the same would also be re-visited in the product backlog worksheet.</t>
  </si>
  <si>
    <t>Release Iteration #</t>
  </si>
  <si>
    <t>&lt;Provide the release iteration number&gt;</t>
  </si>
  <si>
    <t>Release Start Date</t>
  </si>
  <si>
    <t>&lt;Provide the estimated start date of each Release&gt;</t>
  </si>
  <si>
    <t>Release End Date</t>
  </si>
  <si>
    <t>&lt;Provide the estimated end date of each Release&gt;</t>
  </si>
  <si>
    <t>Estimated Effort for Release (person days)</t>
  </si>
  <si>
    <t>&lt;Provide the estimated effort in person days for each Release&gt;</t>
  </si>
  <si>
    <t>Team Size For Release</t>
  </si>
  <si>
    <t>&lt;List the number of team members required for the release&gt;</t>
  </si>
  <si>
    <t>Feature Set ID</t>
  </si>
  <si>
    <t>&lt;From the Product Backlog worksheet, list the Feature Set IDs that are scoped in the corresponding release Iteration #&gt;</t>
  </si>
  <si>
    <t>Feature ID</t>
  </si>
  <si>
    <t>&lt;Provide unique ID for each feature /requirement&gt;</t>
  </si>
  <si>
    <t>Feature Name</t>
  </si>
  <si>
    <r>
      <t>&lt;Name the features that are identified and scoped in the corresponding release Iteration #&gt;</t>
    </r>
    <r>
      <rPr>
        <sz val="10"/>
        <color indexed="30"/>
        <rFont val="Arial"/>
        <family val="2"/>
      </rPr>
      <t/>
    </r>
  </si>
  <si>
    <t>Dependency of Feature</t>
  </si>
  <si>
    <t>&lt;Provide the Dependency between features&gt;</t>
  </si>
  <si>
    <t>Original Scope</t>
  </si>
  <si>
    <r>
      <t xml:space="preserve">&lt;Assign a symbol “X” if a feature is identified as part of the product backlog prior to the commencement of a release&gt;
This field would not be updated for new feature additions that are identified during the release execution (i.e. after baselining the product backlog). In such a scenario, this field would be blank thereby indicating that this feature has been newly added for a release.
</t>
    </r>
    <r>
      <rPr>
        <b/>
        <u/>
        <sz val="10"/>
        <rFont val="Arial"/>
        <family val="2"/>
      </rPr>
      <t xml:space="preserve">
</t>
    </r>
    <r>
      <rPr>
        <sz val="10"/>
        <rFont val="Arial"/>
        <family val="2"/>
      </rPr>
      <t>Additionally this field would be considered for calculating the burn down (person days completed) for original set of features. This field would aid in differentiating the originally scoped features Vs the newly scoped features for plotting the release burn down chart.</t>
    </r>
  </si>
  <si>
    <t>Planned Sprint Iteration #</t>
  </si>
  <si>
    <r>
      <t xml:space="preserve">Once the features are assigned to a release, the next logical step would be to map these features to multiple sprint iterations. To enable this mapping, the user needs to update this field </t>
    </r>
    <r>
      <rPr>
        <i/>
        <sz val="10"/>
        <rFont val="Arial"/>
        <family val="2"/>
      </rPr>
      <t>'Planned Sprint Iteration #'</t>
    </r>
    <r>
      <rPr>
        <sz val="10"/>
        <rFont val="Arial"/>
        <family val="2"/>
      </rPr>
      <t xml:space="preserve"> for the set of features that would be logically grouped within this sprint iteration.
</t>
    </r>
    <r>
      <rPr>
        <b/>
        <u/>
        <sz val="10"/>
        <rFont val="Arial"/>
        <family val="2"/>
      </rPr>
      <t>Note:</t>
    </r>
    <r>
      <rPr>
        <sz val="10"/>
        <rFont val="Arial"/>
        <family val="2"/>
      </rPr>
      <t xml:space="preserve">
However the allocation of features to sprint iteration might change as per the stakeholder priorities, technical constraints, etc while doing the sprint planning activity during the sprint zero/ execution phase</t>
    </r>
  </si>
  <si>
    <t>Initial Estimate For Feature (person days)</t>
  </si>
  <si>
    <r>
      <t xml:space="preserve">&lt;Provide the initial estimated effort (in person days) for each feature&gt;
This initial estimate value would be updated first irrespective of whether it is an originally scoped feature/ or a newly scoped feature that is being added during the course of the project. In case there is a  scope change, the team would need to re-visit the effort for these features (original or newly scoped features) and update the revised effort in the </t>
    </r>
    <r>
      <rPr>
        <i/>
        <sz val="10"/>
        <rFont val="Arial"/>
        <family val="2"/>
      </rPr>
      <t>“revised estimate for a feature”</t>
    </r>
    <r>
      <rPr>
        <sz val="10"/>
        <rFont val="Arial"/>
        <family val="2"/>
      </rPr>
      <t xml:space="preserve"> field. Additionally if there is no scope change, the same value as entered in the Initial estimate would be reflected in the </t>
    </r>
    <r>
      <rPr>
        <i/>
        <sz val="10"/>
        <rFont val="Arial"/>
        <family val="2"/>
      </rPr>
      <t>“revised estimate“</t>
    </r>
    <r>
      <rPr>
        <sz val="10"/>
        <rFont val="Arial"/>
        <family val="2"/>
      </rPr>
      <t xml:space="preserve"> field as well. Basically the revised estimated would always be considered  for the release burn down chart as we can include only a single data source to represent the graph.</t>
    </r>
  </si>
  <si>
    <t>Revised Estimate For Feature (person days)</t>
  </si>
  <si>
    <r>
      <t xml:space="preserve">&lt;Provide the Revised estimated effort (in person days) for each feature&gt;
The size/or the effort for the original set of features/ or for the newly scoped features could be re-visited for the following scenarios :-
a) Scope changes for the existing/ or the newly added  features could be triggered based on  stakeholder inputs
b) Based on the effort expended for the completed features as on date, the effort could be re-visited for downstream features
</t>
    </r>
    <r>
      <rPr>
        <b/>
        <u/>
        <sz val="10"/>
        <rFont val="Arial"/>
        <family val="2"/>
      </rPr>
      <t>Note:</t>
    </r>
    <r>
      <rPr>
        <sz val="10"/>
        <rFont val="Arial"/>
        <family val="2"/>
      </rPr>
      <t xml:space="preserve">
The revised estimate value would be considered for the following purposes:-
 a)  For computing the total effort for the project (in person days)
 b)  For computing the Release burn down chart</t>
    </r>
  </si>
  <si>
    <t>Feature Status</t>
  </si>
  <si>
    <r>
      <t xml:space="preserve">Once the feature is identified and taken forward for implementation, the feature could be represented through several statuses thereby indicating the current status of implementation.
&lt;Refer below for details on different feature status&gt;
Proposed – A feature is identified, but not yet scoped for a release/ sprint iteration.
Assigned – The identified features are allocated to a release/ sprint iteration
Start        - The assigned feature is initiated for implementation
Complete – A feature is said to be complete when it has been developed, tested, and delivered to the customer
Re-Assigned – A feature could be re-assigned to a subsequent sprint or release iteration in case of backlogs from earlier sprints.
Hold   - The feature might be put on hold due to certain constraints/ stakeholder's request, etc
Cancelled - A feature is cancelled or removed from scope of the release/ sprint
</t>
    </r>
    <r>
      <rPr>
        <b/>
        <u/>
        <sz val="10"/>
        <rFont val="Arial"/>
        <family val="2"/>
      </rPr>
      <t>Note:</t>
    </r>
    <r>
      <rPr>
        <sz val="10"/>
        <rFont val="Arial"/>
        <family val="2"/>
      </rPr>
      <t xml:space="preserve">
The above feature status field would be considered for computing the following scenarios:-
a) To calculate the completed work (in person days) for originally scoped feature
b) To calculate the remaining hours (in person days) available for completing newly scoped feature. 
c) To calculate the completed work (in person days) for newly scoped feature</t>
    </r>
  </si>
  <si>
    <t>Calculated Fields</t>
  </si>
  <si>
    <t>Original Features - Completed (person days)</t>
  </si>
  <si>
    <t>This value is non editable.
This field would aid in calculating the burn down for original set of scoped features.
If the feature is mapped as 'X' (originally scoped for a release) and the feature status is marked as "complete", the revised effort depicted in column 'N' for that feature is auto populated in this field.</t>
  </si>
  <si>
    <t>New Features - Not Completed (person days)</t>
  </si>
  <si>
    <t>This value is non editable. 
This field would aid in calculating the effort required to complete the remaining work for the newly scoped features.
If the original scope column is 'blank' for a feature and the status for same is not marked as "complete", the revised effort depicted in column 'N' for that feature is auto populated in this field.</t>
  </si>
  <si>
    <t>New Features - Completed (person days)</t>
  </si>
  <si>
    <t>This value is non editable. 
This field would aid in calculating the burn down for the newly scoped features that are delivered to the customer.
If the original scope column is 'blank' for a feature and the status for same is marked as "complete", the revised effort depicted in column 'N' for that feature is auto populated in this field.</t>
  </si>
  <si>
    <t>Report Data Worksheet</t>
  </si>
  <si>
    <r>
      <t xml:space="preserve">The Report Data worksheet would form an input for plotting the release burn down chart and the "Effort By Iteration" chart.
The Report Data worksheet would automatically populate the following data from "Product - Release Tracking" worksheet for each release iteration.
                </t>
    </r>
    <r>
      <rPr>
        <b/>
        <i/>
        <sz val="10"/>
        <rFont val="Arial"/>
        <family val="2"/>
      </rPr>
      <t>'Assigned'</t>
    </r>
    <r>
      <rPr>
        <sz val="10"/>
        <rFont val="Arial"/>
        <family val="2"/>
      </rPr>
      <t xml:space="preserve"> - This value indicates the amount of work(in person days) planned for each release iteration
                </t>
    </r>
    <r>
      <rPr>
        <b/>
        <i/>
        <sz val="10"/>
        <rFont val="Arial"/>
        <family val="2"/>
      </rPr>
      <t>'Work Remaining'</t>
    </r>
    <r>
      <rPr>
        <sz val="10"/>
        <rFont val="Arial"/>
        <family val="2"/>
      </rPr>
      <t xml:space="preserve"> - This field would indicate the remaining person days available to complete the release Iteration. The original as well as the new features are considered for computing this value.
                </t>
    </r>
    <r>
      <rPr>
        <b/>
        <i/>
        <sz val="10"/>
        <rFont val="Arial"/>
        <family val="2"/>
      </rPr>
      <t>'Original Features -Completed ( person days)'</t>
    </r>
    <r>
      <rPr>
        <sz val="10"/>
        <rFont val="Arial"/>
        <family val="2"/>
      </rPr>
      <t xml:space="preserve"> - This value would be computed as the cumulative sum of all the completed effort (in person days) as displayed in the "Burn-down (Original Features Completed)' field from the "Product - Release Tracking" worksheet.
                </t>
    </r>
    <r>
      <rPr>
        <b/>
        <i/>
        <sz val="10"/>
        <rFont val="Arial"/>
        <family val="2"/>
      </rPr>
      <t>'New Features - Not Completed (person days)'</t>
    </r>
    <r>
      <rPr>
        <sz val="10"/>
        <rFont val="Arial"/>
        <family val="2"/>
      </rPr>
      <t xml:space="preserve"> -  This value would be computed as the cumulative sum of all the remaining effort in person days as displayed in the 'New Features (Not Completed)' field from the "Product - Release Tracking" worksheet.
                </t>
    </r>
    <r>
      <rPr>
        <b/>
        <i/>
        <sz val="10"/>
        <rFont val="Arial"/>
        <family val="2"/>
      </rPr>
      <t xml:space="preserve">'New Features - Completed (person days)' </t>
    </r>
    <r>
      <rPr>
        <sz val="10"/>
        <rFont val="Arial"/>
        <family val="2"/>
      </rPr>
      <t xml:space="preserve">- This value would be computed as the cumulative sum of all the completed effort (in person days) as displayed in the "New Features (Completed)' field from the "Product - Release Tracking" worksheet.
In this Report Data worksheet, the sample data for three release iterations are depicted. If a user needs to update a new release iteration number, the following needs to be done:-
     a) The user needs to include a new release iteration number in the column 'Release iteration #' as part of the "Product - Release Tracking" worksheet
     b) The second step would be to insert new rows (depending on the number of release iterations) at the end of the third release iteration row
     c) The third step would be to extend the formula embedded as part of "report data" worksheet to the subsequent newly inserted rows
     d) The fourth step would be to extend the source data range for the "Release Burn Down Chart" &amp; "Effort By Iteration Chart" to depict the newly added release iterations.
</t>
    </r>
    <r>
      <rPr>
        <b/>
        <u/>
        <sz val="10"/>
        <rFont val="Arial"/>
        <family val="2"/>
      </rPr>
      <t>Note:</t>
    </r>
    <r>
      <rPr>
        <u/>
        <sz val="10"/>
        <rFont val="Arial"/>
        <family val="2"/>
      </rPr>
      <t xml:space="preserve">
</t>
    </r>
    <r>
      <rPr>
        <sz val="10"/>
        <rFont val="Arial"/>
        <family val="2"/>
      </rPr>
      <t>There could the scenarios when new features are being identified, but are not being assigned to any release iterations in the product backlog. In such cases, the effort estimation for those features would be auto populated from "Product - Release Tracking" worksheet under the category "Not Assigned" to the Report Data worksheet. This would aid in identifying the unassigned features and enable the team to assign such features for subsequent releases.</t>
    </r>
  </si>
  <si>
    <t>Release Burn Down Chart</t>
  </si>
  <si>
    <r>
      <t xml:space="preserve">1. A typical release Burn Down chart would enable the Product Owner to assess as to how each iteration is progressing towards realizing the release goal. They would be able to assess the number of features that are going to make it (or) not make it to the release based on the number of features  delivered  by the team in each iteration.
2. Based on the progress being made by the team, the Product Owner may decide to add more Sprints within a release (if it is a feature driven release) or cut down some of the features from the Release backlog (if it is a Date driven release).
The release burn down chart would be automatically plotted based on the data depicted in the "Report Data" worksheet. 
The release burn down graph highlights the progress of work being made across releases. The labels that are used to indicate the progress of work are elaborated below:-
                </t>
    </r>
    <r>
      <rPr>
        <b/>
        <i/>
        <sz val="10"/>
        <rFont val="Arial"/>
        <family val="2"/>
      </rPr>
      <t>'Work Remaining</t>
    </r>
    <r>
      <rPr>
        <sz val="10"/>
        <rFont val="Arial"/>
        <family val="2"/>
      </rPr>
      <t xml:space="preserve">'  - This label is represented by red color. It indicates the remaining person days available to complete the release Iteration. The original as well as the new features are considered for computing this value.
               </t>
    </r>
    <r>
      <rPr>
        <b/>
        <i/>
        <sz val="10"/>
        <rFont val="Arial"/>
        <family val="2"/>
      </rPr>
      <t xml:space="preserve"> 'Original Features -Completed ( person days)'</t>
    </r>
    <r>
      <rPr>
        <sz val="10"/>
        <rFont val="Arial"/>
        <family val="2"/>
      </rPr>
      <t xml:space="preserve"> - This label is represented by green color. It represents the cumulative sum of all the completed effort (in person days).
                '</t>
    </r>
    <r>
      <rPr>
        <b/>
        <i/>
        <sz val="10"/>
        <rFont val="Arial"/>
        <family val="2"/>
      </rPr>
      <t>New Features - Not Completed (person days)'</t>
    </r>
    <r>
      <rPr>
        <sz val="10"/>
        <rFont val="Arial"/>
        <family val="2"/>
      </rPr>
      <t xml:space="preserve"> - This label is represented by purple color. It indicates the cumulative sum of all the remaining effort in person days for the newly scoped features.
              </t>
    </r>
    <r>
      <rPr>
        <b/>
        <i/>
        <sz val="10"/>
        <rFont val="Arial"/>
        <family val="2"/>
      </rPr>
      <t xml:space="preserve"> 'New Features -Completed (person days)' </t>
    </r>
    <r>
      <rPr>
        <sz val="10"/>
        <rFont val="Arial"/>
        <family val="2"/>
      </rPr>
      <t xml:space="preserve">- This label is represented by blue color. It indicates the cumulative sum of all the completed effort (in person days) for the newly scoped features. 
</t>
    </r>
    <r>
      <rPr>
        <b/>
        <sz val="10"/>
        <rFont val="Arial"/>
        <family val="2"/>
      </rPr>
      <t>Interpretation of the Graph:-</t>
    </r>
    <r>
      <rPr>
        <sz val="10"/>
        <rFont val="Arial"/>
        <family val="2"/>
      </rPr>
      <t xml:space="preserve">
X axis : Release Iteration Number
Y axis : Estimated Effort in Person Days for all the four labels</t>
    </r>
  </si>
  <si>
    <t>Effort By Iteration Chart</t>
  </si>
  <si>
    <r>
      <t xml:space="preserve">The </t>
    </r>
    <r>
      <rPr>
        <i/>
        <sz val="10"/>
        <rFont val="Arial"/>
        <family val="2"/>
      </rPr>
      <t>"Effort By Iteration"</t>
    </r>
    <r>
      <rPr>
        <sz val="10"/>
        <rFont val="Arial"/>
        <family val="2"/>
      </rPr>
      <t xml:space="preserve"> pie chart depicts the percentage of effort (in person days) that is being consumed across various release iterations Vs the total project effort. This would aid the project team to assess the average effort expended across releases and predict the future release velocity based on the historical data.
Additionally this chart also highlights the percentage of features that are not yet assigned to any release. Based on the current release velocity, the team could use this data to assign pending features in the current / or subsequent release iterations.
</t>
    </r>
    <r>
      <rPr>
        <b/>
        <u/>
        <sz val="10"/>
        <rFont val="Arial"/>
        <family val="2"/>
      </rPr>
      <t>Note:</t>
    </r>
    <r>
      <rPr>
        <sz val="10"/>
        <rFont val="Arial"/>
        <family val="2"/>
      </rPr>
      <t xml:space="preserve">
The source data for  this chart has to be manually extended/ adjusted depending on the number of release iterations that are included in the </t>
    </r>
    <r>
      <rPr>
        <i/>
        <sz val="10"/>
        <rFont val="Arial"/>
        <family val="2"/>
      </rPr>
      <t>"Report Data"</t>
    </r>
    <r>
      <rPr>
        <sz val="10"/>
        <rFont val="Arial"/>
        <family val="2"/>
      </rPr>
      <t xml:space="preserve"> worksheet.</t>
    </r>
  </si>
  <si>
    <t>Feature Set / Requirements ID</t>
  </si>
  <si>
    <t>Feature
Owner</t>
  </si>
  <si>
    <t>Feature Set 3</t>
  </si>
  <si>
    <r>
      <t>A) AMLU Status Doc (Actions what and how, Status, SLAs) taken care by same framework as "</t>
    </r>
    <r>
      <rPr>
        <b/>
        <sz val="10"/>
        <rFont val="Arial"/>
        <family val="2"/>
      </rPr>
      <t>Corp Security / FDRA Status Doc, Actions, Status, SLA</t>
    </r>
    <r>
      <rPr>
        <sz val="10"/>
        <rFont val="Arial"/>
        <family val="2"/>
      </rPr>
      <t>" 
B) Assuming "</t>
    </r>
    <r>
      <rPr>
        <b/>
        <sz val="10"/>
        <rFont val="Arial"/>
        <family val="2"/>
      </rPr>
      <t>Analyst Actions for Alert to QC</t>
    </r>
    <r>
      <rPr>
        <sz val="10"/>
        <rFont val="Arial"/>
        <family val="2"/>
      </rPr>
      <t>"  is same as item "</t>
    </r>
    <r>
      <rPr>
        <b/>
        <sz val="10"/>
        <rFont val="Arial"/>
        <family val="2"/>
      </rPr>
      <t>Alert QC Functionality (AMLU )"</t>
    </r>
    <r>
      <rPr>
        <sz val="10"/>
        <rFont val="Arial"/>
        <family val="2"/>
      </rPr>
      <t xml:space="preserve">
C) This has a dependency on item A)  available as  part of  backlog item  "Corp Security / FDRA Status Doc, Actions, Status, SLA" ,  i.e., configuration of  population of actions based on status and roles .</t>
    </r>
  </si>
  <si>
    <t>New Features -Completed (person days)</t>
  </si>
  <si>
    <t>Assigned</t>
  </si>
  <si>
    <t>Complete</t>
  </si>
  <si>
    <t>Total Effort For the Project (in Person Days)</t>
  </si>
  <si>
    <t>Legend</t>
  </si>
  <si>
    <t>Read Only</t>
  </si>
  <si>
    <t>Effort By Release Iteration</t>
  </si>
  <si>
    <t>Work Remaining</t>
  </si>
  <si>
    <t>Original Features -Completed ( person days)</t>
  </si>
  <si>
    <t>New Features -
Not Completed (person days)</t>
  </si>
  <si>
    <t>Inprogress</t>
  </si>
  <si>
    <t>Estimated Velocity For Release (FCP/Features)</t>
  </si>
  <si>
    <t xml:space="preserve">&lt;Provide the estimated velocity by specifying the feature complexity points/no of features that can be delivered at the end of a release.&gt;
  </t>
  </si>
  <si>
    <t>Estimated  Velocity For Release (FCP/Features)</t>
  </si>
  <si>
    <t>CoD (Cost of Delay)</t>
  </si>
  <si>
    <t>Feature</t>
  </si>
  <si>
    <t>User/Business Value</t>
  </si>
  <si>
    <t>Time Criticality</t>
  </si>
  <si>
    <t>Risk Reduction or Opportunity Enablement</t>
  </si>
  <si>
    <t>Total</t>
  </si>
  <si>
    <t>Duration (Hours/Days/Size)</t>
  </si>
  <si>
    <t>WSJF (CoD/Duration)</t>
  </si>
  <si>
    <t>Priority</t>
  </si>
  <si>
    <t xml:space="preserve">Weighted Shortest Job First Technique (WSJF)
</t>
  </si>
  <si>
    <t>WSJF - Prioritizing features based on economics of development. Jobs that can deliver most value (CoD) and are shortest duration are selected first for implementation
WSJF (Weighted Shortest Job First) = CoD/Duration 
CoD - opportunity cost to delay implementation of some functionality
CoD is again made of 3 components namely User value , Time Value and Risk Reduction or Opportunity Enablement 
 User value - Is simply the potential value of the feature in the eyes of the user
Time value -  is another relative estimate; one based on how the user value decays over time
Risk Reduction or Opportunity Enablement -The risk reduction or unlocked potential of business opportunities that may be lost or gained based on delaying the release of functionality.
Duration can be in hours/days/size
For CoD and Duration, Fibonacci series (relative rating can be used)</t>
  </si>
  <si>
    <t>Product Backlog</t>
  </si>
  <si>
    <t>High</t>
  </si>
  <si>
    <t>New Requirement</t>
  </si>
  <si>
    <t>Scrum Master</t>
  </si>
  <si>
    <t>Average</t>
  </si>
  <si>
    <t>TBU</t>
  </si>
  <si>
    <t>Proposed</t>
  </si>
  <si>
    <t>Product Owner</t>
  </si>
  <si>
    <t>Remedy Acknowledgement</t>
  </si>
  <si>
    <r>
      <t xml:space="preserve">Product Backlog - Product - Release Tracking          Remedy Acknowledgement
</t>
    </r>
    <r>
      <rPr>
        <b/>
        <sz val="9"/>
        <color indexed="23"/>
        <rFont val="Arial"/>
        <family val="2"/>
      </rPr>
      <t>Release Id : QTAD-BREQ / 1.4.0 / 13-Jul-2016
C3: Protected Project ID : &lt;Project ID&gt; | &lt;SCI.ID. &gt; / Ver: &lt;Ver No.&gt;</t>
    </r>
  </si>
  <si>
    <r>
      <t xml:space="preserve">Product Backlog - Product Backlog          Remedy Acknowledgement
</t>
    </r>
    <r>
      <rPr>
        <b/>
        <sz val="9"/>
        <color indexed="23"/>
        <rFont val="Arial"/>
        <family val="2"/>
      </rPr>
      <t>Release Id : QTAD-BREQ / 1.4.0 / 13-Jul-2016
C3: Protected Project ID : &lt;Project ID&gt; | &lt;SCI.ID. &gt; / Ver: &lt;Ver No.&gt;</t>
    </r>
  </si>
  <si>
    <r>
      <t xml:space="preserve">Product Backlog - Report Data          Remedy Acknowledgement
</t>
    </r>
    <r>
      <rPr>
        <b/>
        <sz val="9"/>
        <color indexed="23"/>
        <rFont val="Arial"/>
        <family val="2"/>
      </rPr>
      <t>Release Id : QTAD-BREQ / 1.4.0 / 13-Jul-2016
C3: Protected Project ID : &lt;Project ID&gt; | &lt;SCI.ID. &gt; / Ver: &lt;Ver No.&gt;</t>
    </r>
  </si>
  <si>
    <r>
      <t xml:space="preserve">Product Backlog - WSJF Technique          Remedy Acknowledgement
</t>
    </r>
    <r>
      <rPr>
        <b/>
        <sz val="9"/>
        <color indexed="23"/>
        <rFont val="Arial"/>
        <family val="2"/>
      </rPr>
      <t>Release Id : QTAD-BREQ / 1.4.0 / 13-Jul-2016
C3: Protected Project ID : &lt;Project ID&gt; | &lt;SCI.ID. &gt; / Ver: &lt;Ver No.&gt;</t>
    </r>
  </si>
  <si>
    <r>
      <t xml:space="preserve">Product Backlog - Instructions          Remedy Acknowledgement
</t>
    </r>
    <r>
      <rPr>
        <b/>
        <sz val="9"/>
        <color indexed="23"/>
        <rFont val="Arial"/>
        <family val="2"/>
      </rPr>
      <t>Release Id : QTAD-BREQ / 1.4.0 / 13-Jul-2016
C3: Protected Project ID : &lt;Project ID&gt; | &lt;SCI.ID. &gt; / Ver: &lt;Ver No.&gt;</t>
    </r>
  </si>
  <si>
    <t>Release Id : QTAD-BREQ / 1.4.0 / 13-Jul-2016</t>
  </si>
  <si>
    <t>FS1/Req 1.1 -Req 1.3</t>
  </si>
  <si>
    <t>The Objective of this requirement is to procure the details of the email from mailbox</t>
  </si>
  <si>
    <t>User should be able to access the mail box and When the user clicks on the email,he should be able to read the email and Check ticket creation details</t>
  </si>
  <si>
    <t>FS2/Req 2.1-2.4</t>
  </si>
  <si>
    <t>The Objective of this requirement is to connect to Remedy through Web Services</t>
  </si>
  <si>
    <t>Medium</t>
  </si>
  <si>
    <t>On successful modidfication of the remedy, a message has to be shown “Successfully modified”</t>
  </si>
  <si>
    <t>If the ticket creation details are present ,then user has to connect to Remedy.Remedy has to be connected through Web services. Upon the requirement of the ticket the Remedy has to modified.</t>
  </si>
  <si>
    <t>FS3/Req 3.1 - Req 3.5</t>
  </si>
  <si>
    <t>The Objective of this requirement is to assign the resource (based on the application)</t>
  </si>
  <si>
    <t>The resouces have to be assigned to the remedy</t>
  </si>
  <si>
    <t>FS4/Req 4.1-4.4</t>
  </si>
  <si>
    <t>The Objective of this requirement is to give acknowledgement and details in notes section</t>
  </si>
  <si>
    <r>
      <t>De</t>
    </r>
    <r>
      <rPr>
        <sz val="10"/>
        <rFont val="Arial"/>
        <family val="2"/>
      </rPr>
      <t xml:space="preserve">pendency on FS1,FS2Post-successful field level validation, save the information 
Upon saving the information in the database, display the message ‘Your resources are assigned successfully’.
</t>
    </r>
  </si>
  <si>
    <t>FS1</t>
  </si>
  <si>
    <t>FEA_1.1</t>
  </si>
  <si>
    <t>Remedy Ticket Creation</t>
  </si>
  <si>
    <t>User should be able to access the mail box</t>
  </si>
  <si>
    <t>FEA_1.2</t>
  </si>
  <si>
    <t>When the user clicks on the email,he should be able to read the email</t>
  </si>
  <si>
    <t>FEA_1.3</t>
  </si>
  <si>
    <t>Check ticket creation details</t>
  </si>
  <si>
    <t>FS2</t>
  </si>
  <si>
    <t>FEA_2.1</t>
  </si>
  <si>
    <t>Remedy Connection</t>
  </si>
  <si>
    <t>If the ticket creation details are present ,then user has to connect to Remedy</t>
  </si>
  <si>
    <t>FEA_2.2</t>
  </si>
  <si>
    <t>Remedy has to be connected through Web services</t>
  </si>
  <si>
    <t>FEA_2.3</t>
  </si>
  <si>
    <t>Upon the requirement of the ticket the Remedy has to modified.</t>
  </si>
  <si>
    <t>FEA_2.4</t>
  </si>
  <si>
    <t>FS3</t>
  </si>
  <si>
    <t>FEA_3.1</t>
  </si>
  <si>
    <t>Resource Assignment</t>
  </si>
  <si>
    <t>FEA_3.2</t>
  </si>
  <si>
    <t>The status of the ticket will be changed from “Assigned ” to “In-Progress ”</t>
  </si>
  <si>
    <t>FEA_3.3</t>
  </si>
  <si>
    <t>Field- “Assign resources” has to be present.User will fill the resources that have to be assigned to the application</t>
  </si>
  <si>
    <t>FEA_3.4</t>
  </si>
  <si>
    <t>User failing to provide information on the mandatory fields be provided with an alert message – ‘Please update the highlighted mandatory field(s).’ Also, highlight the missed out field in red</t>
  </si>
  <si>
    <t>FEA_3.5</t>
  </si>
  <si>
    <t>Clicking the “Submit” button, the filled resource will be assigned</t>
  </si>
  <si>
    <t>FS4</t>
  </si>
  <si>
    <t>FEA_4.1</t>
  </si>
  <si>
    <t>Acknowlegdement</t>
  </si>
  <si>
    <t>Post-successful field level validation, save the information</t>
  </si>
  <si>
    <t>FEA_4.2</t>
  </si>
  <si>
    <t>Upon saving the information in the database, display the message ‘Your resources are assigned successfully’.</t>
  </si>
  <si>
    <t>FEA_4.3</t>
  </si>
  <si>
    <t>For acknowledgement field - User failing to provide a valid value will be displayed with a message – ‘Please fill the details’</t>
  </si>
  <si>
    <t>FEA_4.4</t>
  </si>
  <si>
    <t>User should fill the details in the notes section</t>
  </si>
  <si>
    <t>Aakash Saini
Alisha Kumar</t>
  </si>
  <si>
    <t>Chiranjeev Singh
Dixit Kamal
Aayushi Panwar</t>
  </si>
  <si>
    <t>Vinay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</si>
</sst>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
  </numFmts>
  <fonts count="31" x14ac:knownFonts="1">
    <font>
      <sz val="10"/>
      <name val="Arial"/>
    </font>
    <font>
      <sz val="11"/>
      <color theme="1"/>
      <name val="Calibri"/>
      <family val="2"/>
      <scheme val="minor"/>
    </font>
    <font>
      <sz val="10"/>
      <name val="Arial"/>
      <family val="2"/>
    </font>
    <font>
      <b/>
      <sz val="10"/>
      <name val="Arial"/>
      <family val="2"/>
    </font>
    <font>
      <sz val="10"/>
      <name val="Arial"/>
      <family val="2"/>
    </font>
    <font>
      <b/>
      <sz val="11"/>
      <name val="Verdana"/>
      <family val="2"/>
    </font>
    <font>
      <sz val="11"/>
      <name val="Verdana"/>
      <family val="2"/>
    </font>
    <font>
      <sz val="9"/>
      <color indexed="23"/>
      <name val="Arial"/>
      <family val="2"/>
    </font>
    <font>
      <b/>
      <sz val="14"/>
      <name val="Arial"/>
      <family val="2"/>
    </font>
    <font>
      <b/>
      <sz val="20"/>
      <color indexed="18"/>
      <name val="Arial"/>
      <family val="2"/>
    </font>
    <font>
      <sz val="14"/>
      <name val="Arial"/>
      <family val="2"/>
    </font>
    <font>
      <b/>
      <sz val="16"/>
      <color indexed="18"/>
      <name val="Arial"/>
      <family val="2"/>
    </font>
    <font>
      <u/>
      <sz val="11"/>
      <name val="Arial"/>
      <family val="2"/>
    </font>
    <font>
      <b/>
      <sz val="10"/>
      <color indexed="8"/>
      <name val="Arial"/>
      <family val="2"/>
    </font>
    <font>
      <i/>
      <sz val="10"/>
      <name val="Arial"/>
      <family val="2"/>
    </font>
    <font>
      <i/>
      <sz val="10"/>
      <name val="Arial"/>
      <family val="2"/>
    </font>
    <font>
      <b/>
      <sz val="10"/>
      <name val="Arial"/>
      <family val="2"/>
    </font>
    <font>
      <b/>
      <i/>
      <sz val="10"/>
      <name val="Arial"/>
      <family val="2"/>
    </font>
    <font>
      <b/>
      <sz val="18"/>
      <color indexed="18"/>
      <name val="Arial"/>
      <family val="2"/>
    </font>
    <font>
      <b/>
      <sz val="13"/>
      <color indexed="16"/>
      <name val="Arial"/>
      <family val="2"/>
    </font>
    <font>
      <b/>
      <sz val="9"/>
      <color indexed="23"/>
      <name val="Arial"/>
      <family val="2"/>
    </font>
    <font>
      <b/>
      <sz val="10"/>
      <color indexed="16"/>
      <name val="Arial"/>
      <family val="2"/>
    </font>
    <font>
      <sz val="10"/>
      <color indexed="30"/>
      <name val="Arial"/>
      <family val="2"/>
    </font>
    <font>
      <b/>
      <u/>
      <sz val="10"/>
      <name val="Arial"/>
      <family val="2"/>
    </font>
    <font>
      <u/>
      <sz val="10"/>
      <name val="Arial"/>
      <family val="2"/>
    </font>
    <font>
      <sz val="10"/>
      <color indexed="8"/>
      <name val="Arial"/>
      <family val="2"/>
    </font>
    <font>
      <b/>
      <sz val="12"/>
      <name val="Arial"/>
      <family val="2"/>
    </font>
    <font>
      <sz val="8"/>
      <color indexed="81"/>
      <name val="Tahoma"/>
      <family val="2"/>
    </font>
    <font>
      <sz val="11"/>
      <color theme="1"/>
      <name val="Calibri"/>
      <family val="2"/>
      <scheme val="minor"/>
    </font>
    <font>
      <sz val="11"/>
      <color theme="1"/>
      <name val="Calibri"/>
      <family val="2"/>
    </font>
    <font>
      <sz val="10"/>
      <color theme="1"/>
      <name val="Arial"/>
      <family val="2"/>
    </font>
  </fonts>
  <fills count="9">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47"/>
        <bgColor indexed="64"/>
      </patternFill>
    </fill>
    <fill>
      <patternFill patternType="solid">
        <fgColor indexed="13"/>
        <bgColor indexed="64"/>
      </patternFill>
    </fill>
    <fill>
      <patternFill patternType="solid">
        <fgColor theme="0"/>
        <bgColor indexed="64"/>
      </patternFill>
    </fill>
    <fill>
      <patternFill patternType="solid">
        <fgColor rgb="FFFFCC99"/>
        <bgColor indexed="64"/>
      </patternFill>
    </fill>
    <fill>
      <patternFill patternType="solid">
        <fgColor theme="0" tint="-0.34998626667073579"/>
        <bgColor indexed="64"/>
      </patternFill>
    </fill>
  </fills>
  <borders count="2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thick">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bottom style="thick">
        <color indexed="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ck">
        <color indexed="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bottom style="thick">
        <color indexed="0"/>
      </bottom>
      <diagonal/>
    </border>
    <border>
      <left/>
      <right/>
      <top style="thin">
        <color indexed="64"/>
      </top>
      <bottom style="thin">
        <color indexed="64"/>
      </bottom>
      <diagonal/>
    </border>
  </borders>
  <cellStyleXfs count="7">
    <xf numFmtId="0" fontId="0" fillId="0" borderId="0"/>
    <xf numFmtId="0" fontId="4" fillId="0" borderId="0"/>
    <xf numFmtId="0" fontId="4" fillId="0" borderId="0"/>
    <xf numFmtId="0" fontId="28" fillId="0" borderId="0"/>
    <xf numFmtId="0" fontId="2" fillId="0" borderId="0"/>
    <xf numFmtId="0" fontId="2" fillId="0" borderId="0"/>
    <xf numFmtId="0" fontId="1" fillId="0" borderId="0"/>
  </cellStyleXfs>
  <cellXfs count="193">
    <xf numFmtId="0" fontId="0" fillId="0" borderId="0" xfId="0"/>
    <xf numFmtId="0" fontId="0" fillId="2" borderId="0" xfId="0" applyFill="1" applyBorder="1"/>
    <xf numFmtId="0" fontId="8" fillId="2" borderId="0" xfId="0" applyFont="1" applyFill="1" applyBorder="1"/>
    <xf numFmtId="0" fontId="0" fillId="2" borderId="0" xfId="0" applyFill="1" applyBorder="1" applyAlignment="1">
      <alignment horizontal="center"/>
    </xf>
    <xf numFmtId="0" fontId="0" fillId="2" borderId="0" xfId="0" applyFill="1"/>
    <xf numFmtId="0" fontId="8" fillId="2" borderId="1" xfId="0" applyFont="1" applyFill="1" applyBorder="1"/>
    <xf numFmtId="0" fontId="8" fillId="2" borderId="2" xfId="0" applyFont="1" applyFill="1" applyBorder="1"/>
    <xf numFmtId="0" fontId="0" fillId="2" borderId="2" xfId="0" applyFill="1" applyBorder="1"/>
    <xf numFmtId="0" fontId="8" fillId="2" borderId="3" xfId="0" applyFont="1" applyFill="1" applyBorder="1"/>
    <xf numFmtId="0" fontId="0" fillId="2" borderId="4" xfId="0" applyFill="1" applyBorder="1"/>
    <xf numFmtId="0" fontId="0" fillId="2" borderId="3" xfId="0" applyFill="1" applyBorder="1" applyAlignment="1">
      <alignment horizontal="center"/>
    </xf>
    <xf numFmtId="0" fontId="0" fillId="2" borderId="3" xfId="0" applyFill="1" applyBorder="1"/>
    <xf numFmtId="0" fontId="2" fillId="2" borderId="0" xfId="0" applyFont="1" applyFill="1" applyBorder="1"/>
    <xf numFmtId="49" fontId="13" fillId="3" borderId="5" xfId="0" applyNumberFormat="1" applyFont="1" applyFill="1" applyBorder="1" applyAlignment="1">
      <alignment horizontal="center" vertical="center" wrapText="1"/>
    </xf>
    <xf numFmtId="0" fontId="14" fillId="2" borderId="0" xfId="0" applyFont="1" applyFill="1" applyBorder="1" applyAlignment="1">
      <alignment vertical="top"/>
    </xf>
    <xf numFmtId="14" fontId="14" fillId="2" borderId="0" xfId="0" applyNumberFormat="1" applyFont="1" applyFill="1" applyBorder="1" applyAlignment="1">
      <alignment horizontal="left"/>
    </xf>
    <xf numFmtId="0" fontId="15" fillId="2" borderId="0" xfId="0" applyFont="1" applyFill="1" applyBorder="1" applyAlignment="1">
      <alignment vertical="top"/>
    </xf>
    <xf numFmtId="0" fontId="14" fillId="2" borderId="0" xfId="0" applyFont="1" applyFill="1" applyAlignment="1">
      <alignment vertical="top"/>
    </xf>
    <xf numFmtId="0" fontId="16" fillId="2" borderId="3" xfId="0" applyFont="1" applyFill="1" applyBorder="1"/>
    <xf numFmtId="0" fontId="16" fillId="2" borderId="0" xfId="0" applyFont="1" applyFill="1" applyBorder="1"/>
    <xf numFmtId="0" fontId="14" fillId="2" borderId="4" xfId="0" applyFont="1" applyFill="1" applyBorder="1" applyAlignment="1">
      <alignment vertical="top"/>
    </xf>
    <xf numFmtId="0" fontId="15" fillId="2" borderId="0" xfId="0" applyFont="1" applyFill="1" applyBorder="1" applyAlignment="1">
      <alignment horizontal="center"/>
    </xf>
    <xf numFmtId="0" fontId="4" fillId="2" borderId="0" xfId="0" applyFont="1" applyFill="1" applyBorder="1" applyAlignment="1">
      <alignment horizontal="center"/>
    </xf>
    <xf numFmtId="0" fontId="16" fillId="2" borderId="6" xfId="0" applyFont="1" applyFill="1" applyBorder="1"/>
    <xf numFmtId="0" fontId="0" fillId="2" borderId="6" xfId="0" applyFill="1" applyBorder="1"/>
    <xf numFmtId="0" fontId="2" fillId="2" borderId="0" xfId="0" applyFont="1" applyFill="1"/>
    <xf numFmtId="0" fontId="0" fillId="2" borderId="0" xfId="0" applyFill="1" applyAlignment="1">
      <alignment horizontal="center"/>
    </xf>
    <xf numFmtId="0" fontId="17" fillId="2" borderId="0" xfId="0" applyFont="1" applyFill="1" applyAlignment="1">
      <alignment vertical="top"/>
    </xf>
    <xf numFmtId="0" fontId="3" fillId="2" borderId="0" xfId="0" applyFont="1" applyFill="1" applyAlignment="1">
      <alignment vertical="top"/>
    </xf>
    <xf numFmtId="0" fontId="3" fillId="2" borderId="0" xfId="0" applyFont="1" applyFill="1"/>
    <xf numFmtId="0" fontId="14" fillId="2" borderId="0" xfId="0" applyFont="1" applyFill="1"/>
    <xf numFmtId="0" fontId="18" fillId="0" borderId="0" xfId="0" applyFont="1" applyAlignment="1">
      <alignment horizontal="justify" vertical="center" wrapText="1"/>
    </xf>
    <xf numFmtId="0" fontId="0" fillId="0" borderId="0" xfId="0" applyAlignment="1">
      <alignment horizontal="justify" vertical="center" wrapText="1"/>
    </xf>
    <xf numFmtId="0" fontId="5" fillId="0" borderId="0" xfId="0" applyFont="1" applyAlignment="1">
      <alignment horizontal="justify" vertical="center" wrapText="1"/>
    </xf>
    <xf numFmtId="0" fontId="4" fillId="0" borderId="0" xfId="0" applyFont="1" applyAlignment="1">
      <alignment horizontal="justify" vertical="center" wrapText="1"/>
    </xf>
    <xf numFmtId="0" fontId="4" fillId="0" borderId="7" xfId="0" applyFont="1" applyBorder="1" applyAlignment="1">
      <alignment horizontal="justify" vertical="center" wrapText="1"/>
    </xf>
    <xf numFmtId="0" fontId="4" fillId="0" borderId="8" xfId="0" applyFont="1" applyBorder="1" applyAlignment="1">
      <alignment horizontal="justify" vertical="center" wrapText="1"/>
    </xf>
    <xf numFmtId="0" fontId="3" fillId="4" borderId="5" xfId="0" applyFont="1" applyFill="1" applyBorder="1" applyAlignment="1">
      <alignment horizontal="center" vertical="center" wrapText="1"/>
    </xf>
    <xf numFmtId="0" fontId="7" fillId="2" borderId="3" xfId="0" applyFont="1" applyFill="1" applyBorder="1"/>
    <xf numFmtId="0" fontId="7" fillId="2" borderId="0" xfId="0" applyFont="1" applyFill="1" applyBorder="1"/>
    <xf numFmtId="0" fontId="7" fillId="2" borderId="9" xfId="0" applyFont="1" applyFill="1" applyBorder="1"/>
    <xf numFmtId="0" fontId="7" fillId="2" borderId="6" xfId="0" applyFont="1" applyFill="1" applyBorder="1"/>
    <xf numFmtId="0" fontId="3" fillId="3" borderId="5" xfId="0" applyFont="1" applyFill="1" applyBorder="1" applyAlignment="1">
      <alignment horizontal="justify" vertical="center" wrapText="1"/>
    </xf>
    <xf numFmtId="0" fontId="4" fillId="2" borderId="5" xfId="0" applyFont="1" applyFill="1" applyBorder="1" applyAlignment="1">
      <alignment horizontal="justify" vertical="center" wrapText="1"/>
    </xf>
    <xf numFmtId="164" fontId="4" fillId="2" borderId="5" xfId="0" applyNumberFormat="1" applyFont="1" applyFill="1" applyBorder="1" applyAlignment="1">
      <alignment horizontal="justify" vertical="center" wrapText="1"/>
    </xf>
    <xf numFmtId="0" fontId="3" fillId="4" borderId="8" xfId="0" applyFont="1" applyFill="1" applyBorder="1" applyAlignment="1">
      <alignment horizontal="center" vertical="center" wrapText="1"/>
    </xf>
    <xf numFmtId="164" fontId="0" fillId="0" borderId="0" xfId="0" applyNumberFormat="1" applyAlignment="1">
      <alignment horizontal="justify" vertical="center" wrapText="1"/>
    </xf>
    <xf numFmtId="164" fontId="3" fillId="4" borderId="8" xfId="0" applyNumberFormat="1" applyFont="1" applyFill="1" applyBorder="1" applyAlignment="1">
      <alignment horizontal="center" vertical="center" wrapText="1"/>
    </xf>
    <xf numFmtId="164" fontId="4" fillId="0" borderId="8" xfId="0" applyNumberFormat="1" applyFont="1" applyBorder="1" applyAlignment="1">
      <alignment horizontal="justify" vertical="center" wrapText="1"/>
    </xf>
    <xf numFmtId="0" fontId="6" fillId="0" borderId="10" xfId="0" applyFont="1" applyBorder="1" applyAlignment="1">
      <alignment horizontal="justify" vertical="center" wrapText="1"/>
    </xf>
    <xf numFmtId="0" fontId="0" fillId="2" borderId="11" xfId="0" applyFill="1" applyBorder="1" applyAlignment="1">
      <alignment horizontal="center"/>
    </xf>
    <xf numFmtId="0" fontId="0" fillId="2" borderId="4" xfId="0" applyFill="1" applyBorder="1" applyAlignment="1">
      <alignment horizontal="center"/>
    </xf>
    <xf numFmtId="0" fontId="15" fillId="2" borderId="4" xfId="0" applyFont="1" applyFill="1" applyBorder="1" applyAlignment="1">
      <alignment horizontal="center" vertical="top"/>
    </xf>
    <xf numFmtId="0" fontId="4" fillId="2" borderId="4" xfId="0" applyFont="1" applyFill="1" applyBorder="1" applyAlignment="1">
      <alignment horizontal="center"/>
    </xf>
    <xf numFmtId="0" fontId="0" fillId="2" borderId="12" xfId="0" applyFill="1" applyBorder="1" applyAlignment="1">
      <alignment horizontal="center"/>
    </xf>
    <xf numFmtId="0" fontId="4" fillId="0" borderId="13" xfId="1" applyFont="1" applyFill="1" applyBorder="1" applyAlignment="1">
      <alignment horizontal="justify" vertical="center" wrapText="1"/>
    </xf>
    <xf numFmtId="0" fontId="4" fillId="6" borderId="13" xfId="1" applyFont="1" applyFill="1" applyBorder="1" applyAlignment="1">
      <alignment horizontal="justify" vertical="center" wrapText="1"/>
    </xf>
    <xf numFmtId="0" fontId="4" fillId="2" borderId="0" xfId="1" applyFont="1" applyFill="1"/>
    <xf numFmtId="0" fontId="4" fillId="2" borderId="0" xfId="1" applyFont="1" applyFill="1" applyAlignment="1">
      <alignment horizontal="center"/>
    </xf>
    <xf numFmtId="0" fontId="4" fillId="2" borderId="5" xfId="1" applyFont="1" applyFill="1" applyBorder="1"/>
    <xf numFmtId="0" fontId="3" fillId="2" borderId="5" xfId="1" applyFont="1" applyFill="1" applyBorder="1"/>
    <xf numFmtId="0" fontId="4" fillId="2" borderId="5" xfId="1" applyFont="1" applyFill="1" applyBorder="1" applyAlignment="1">
      <alignment wrapText="1"/>
    </xf>
    <xf numFmtId="0" fontId="4" fillId="6" borderId="5" xfId="1" applyFont="1" applyFill="1" applyBorder="1" applyAlignment="1">
      <alignment wrapText="1"/>
    </xf>
    <xf numFmtId="0" fontId="3" fillId="6" borderId="5" xfId="1" applyFont="1" applyFill="1" applyBorder="1"/>
    <xf numFmtId="0" fontId="3" fillId="2" borderId="5" xfId="1" applyFont="1" applyFill="1" applyBorder="1" applyAlignment="1">
      <alignment wrapText="1"/>
    </xf>
    <xf numFmtId="0" fontId="4" fillId="2" borderId="0" xfId="1" applyFont="1" applyFill="1" applyBorder="1"/>
    <xf numFmtId="0" fontId="3" fillId="2" borderId="0" xfId="1" applyFont="1" applyFill="1" applyBorder="1"/>
    <xf numFmtId="0" fontId="3" fillId="2" borderId="0" xfId="1" applyFont="1" applyFill="1"/>
    <xf numFmtId="0" fontId="3" fillId="7" borderId="5" xfId="0" applyFont="1" applyFill="1" applyBorder="1" applyAlignment="1">
      <alignment wrapText="1"/>
    </xf>
    <xf numFmtId="0" fontId="4" fillId="0" borderId="0" xfId="0" applyFont="1"/>
    <xf numFmtId="0" fontId="4" fillId="0" borderId="0" xfId="0" applyFont="1" applyAlignment="1">
      <alignment wrapText="1"/>
    </xf>
    <xf numFmtId="0" fontId="4" fillId="0" borderId="5" xfId="0" applyFont="1" applyFill="1" applyBorder="1" applyAlignment="1">
      <alignment horizontal="left" vertical="top" wrapText="1"/>
    </xf>
    <xf numFmtId="0" fontId="4" fillId="0" borderId="0" xfId="0" applyFont="1" applyAlignment="1">
      <alignment horizontal="left"/>
    </xf>
    <xf numFmtId="0" fontId="4" fillId="5" borderId="0" xfId="0" applyFont="1" applyFill="1" applyAlignment="1">
      <alignment horizontal="left" vertical="top" wrapText="1"/>
    </xf>
    <xf numFmtId="0" fontId="3" fillId="0" borderId="5" xfId="0" applyFont="1" applyFill="1" applyBorder="1" applyAlignment="1">
      <alignment horizontal="left" vertical="top" wrapText="1"/>
    </xf>
    <xf numFmtId="0" fontId="4" fillId="3" borderId="0" xfId="0" applyFont="1" applyFill="1" applyAlignment="1">
      <alignment horizontal="left" vertical="top" wrapText="1"/>
    </xf>
    <xf numFmtId="0" fontId="13" fillId="0" borderId="5" xfId="0" applyFont="1" applyFill="1" applyBorder="1" applyAlignment="1">
      <alignment horizontal="left" vertical="top" wrapText="1"/>
    </xf>
    <xf numFmtId="0" fontId="25" fillId="0" borderId="0" xfId="0" applyFont="1" applyFill="1" applyAlignment="1">
      <alignment horizontal="left" vertical="top" wrapText="1"/>
    </xf>
    <xf numFmtId="0" fontId="4" fillId="0" borderId="0" xfId="0" applyFont="1" applyFill="1" applyAlignment="1">
      <alignment horizontal="left"/>
    </xf>
    <xf numFmtId="0" fontId="4" fillId="0" borderId="0" xfId="0" applyFont="1" applyFill="1" applyAlignment="1">
      <alignment horizontal="left" vertical="top" wrapText="1"/>
    </xf>
    <xf numFmtId="0" fontId="4" fillId="0" borderId="5" xfId="0" applyNumberFormat="1" applyFont="1" applyFill="1" applyBorder="1" applyAlignment="1">
      <alignment horizontal="left" vertical="top" wrapText="1"/>
    </xf>
    <xf numFmtId="0" fontId="4" fillId="0" borderId="5" xfId="0" applyFont="1" applyFill="1" applyBorder="1" applyAlignment="1">
      <alignment horizontal="left"/>
    </xf>
    <xf numFmtId="0" fontId="4" fillId="0" borderId="5" xfId="0" applyFont="1" applyBorder="1" applyAlignment="1">
      <alignment horizontal="left"/>
    </xf>
    <xf numFmtId="0" fontId="4" fillId="0" borderId="0" xfId="0" applyFont="1" applyAlignment="1">
      <alignment horizontal="left" vertical="top" wrapText="1"/>
    </xf>
    <xf numFmtId="0" fontId="4" fillId="0" borderId="0" xfId="0" applyFont="1" applyFill="1"/>
    <xf numFmtId="0" fontId="4" fillId="0" borderId="0" xfId="0" applyFont="1" applyAlignment="1">
      <alignment vertical="top" wrapText="1"/>
    </xf>
    <xf numFmtId="0" fontId="4" fillId="0" borderId="0" xfId="0" applyFont="1" applyFill="1" applyAlignment="1">
      <alignment vertical="top" wrapText="1"/>
    </xf>
    <xf numFmtId="0" fontId="4" fillId="0" borderId="5" xfId="0" applyFont="1" applyFill="1" applyBorder="1" applyAlignment="1">
      <alignment vertical="top" wrapText="1"/>
    </xf>
    <xf numFmtId="0" fontId="4" fillId="6" borderId="5" xfId="0" applyFont="1" applyFill="1" applyBorder="1" applyAlignment="1">
      <alignment horizontal="left" vertical="top" wrapText="1"/>
    </xf>
    <xf numFmtId="0" fontId="4" fillId="5" borderId="0" xfId="0" applyFont="1" applyFill="1" applyAlignment="1">
      <alignment vertical="top" wrapText="1"/>
    </xf>
    <xf numFmtId="0" fontId="4" fillId="3" borderId="0" xfId="0" applyFont="1" applyFill="1" applyAlignment="1">
      <alignment vertical="top" wrapText="1"/>
    </xf>
    <xf numFmtId="0" fontId="4" fillId="0" borderId="0" xfId="0" applyFont="1" applyBorder="1"/>
    <xf numFmtId="0" fontId="4" fillId="0" borderId="0" xfId="0" applyFont="1" applyBorder="1" applyAlignment="1">
      <alignment vertical="top" wrapText="1"/>
    </xf>
    <xf numFmtId="0" fontId="4" fillId="0" borderId="0" xfId="0" applyFont="1" applyFill="1" applyBorder="1"/>
    <xf numFmtId="0" fontId="4" fillId="8" borderId="0" xfId="0" applyFont="1" applyFill="1" applyBorder="1"/>
    <xf numFmtId="0" fontId="23" fillId="0" borderId="5" xfId="0" applyFont="1" applyFill="1" applyBorder="1"/>
    <xf numFmtId="0" fontId="4" fillId="6" borderId="0" xfId="0" applyFont="1" applyFill="1" applyBorder="1" applyAlignment="1">
      <alignment horizontal="left" vertical="top" wrapText="1"/>
    </xf>
    <xf numFmtId="0" fontId="4" fillId="6" borderId="7" xfId="0" applyFont="1" applyFill="1" applyBorder="1" applyAlignment="1">
      <alignment horizontal="left" vertical="top" wrapText="1"/>
    </xf>
    <xf numFmtId="0" fontId="4" fillId="6" borderId="0" xfId="0" applyFont="1" applyFill="1"/>
    <xf numFmtId="0" fontId="4" fillId="6" borderId="0" xfId="0" applyFont="1" applyFill="1" applyAlignment="1">
      <alignment vertical="top" wrapText="1"/>
    </xf>
    <xf numFmtId="0" fontId="3" fillId="7" borderId="5" xfId="0" applyFont="1" applyFill="1" applyBorder="1"/>
    <xf numFmtId="0" fontId="3" fillId="7" borderId="5" xfId="0" applyFont="1" applyFill="1" applyBorder="1" applyAlignment="1">
      <alignment horizontal="right"/>
    </xf>
    <xf numFmtId="0" fontId="0" fillId="0" borderId="5" xfId="0" applyBorder="1"/>
    <xf numFmtId="0" fontId="4" fillId="0" borderId="16" xfId="0" applyFont="1" applyBorder="1" applyAlignment="1">
      <alignment horizontal="justify" vertical="center" wrapText="1"/>
    </xf>
    <xf numFmtId="0" fontId="4" fillId="0" borderId="13" xfId="0" applyFont="1" applyBorder="1" applyAlignment="1">
      <alignment horizontal="justify" vertical="center" wrapText="1"/>
    </xf>
    <xf numFmtId="0" fontId="29" fillId="0" borderId="0" xfId="3" applyFont="1" applyBorder="1" applyAlignment="1">
      <alignment vertical="center" wrapText="1"/>
    </xf>
    <xf numFmtId="0" fontId="29" fillId="0" borderId="5" xfId="3" applyFont="1" applyBorder="1" applyAlignment="1">
      <alignment vertical="center" wrapText="1"/>
    </xf>
    <xf numFmtId="0" fontId="4" fillId="0" borderId="5" xfId="0" applyFont="1" applyBorder="1" applyAlignment="1">
      <alignment horizontal="justify" vertical="center" wrapText="1"/>
    </xf>
    <xf numFmtId="0" fontId="30" fillId="0" borderId="5" xfId="3" applyFont="1" applyBorder="1" applyAlignment="1">
      <alignment vertical="center" wrapText="1"/>
    </xf>
    <xf numFmtId="0" fontId="4" fillId="0" borderId="0" xfId="0" applyFont="1" applyAlignment="1">
      <alignment horizontal="center" vertical="center" wrapText="1"/>
    </xf>
    <xf numFmtId="0" fontId="3" fillId="7" borderId="7" xfId="0" applyFont="1" applyFill="1" applyBorder="1" applyAlignment="1">
      <alignment horizontal="center" vertical="center" wrapText="1"/>
    </xf>
    <xf numFmtId="0" fontId="4" fillId="0" borderId="0" xfId="0" applyFont="1" applyAlignment="1">
      <alignment horizontal="center" vertical="center"/>
    </xf>
    <xf numFmtId="0" fontId="3" fillId="7" borderId="5" xfId="0" applyFont="1" applyFill="1" applyBorder="1" applyAlignment="1">
      <alignment horizontal="center" vertical="center" wrapText="1"/>
    </xf>
    <xf numFmtId="0" fontId="2" fillId="2" borderId="5" xfId="0" applyFont="1" applyFill="1" applyBorder="1" applyAlignment="1">
      <alignment horizontal="justify" vertical="center" wrapText="1"/>
    </xf>
    <xf numFmtId="0" fontId="3" fillId="6" borderId="5"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4" fillId="5" borderId="0" xfId="0" applyFont="1" applyFill="1" applyAlignment="1">
      <alignment horizontal="center" vertical="center" wrapText="1"/>
    </xf>
    <xf numFmtId="0" fontId="2" fillId="0" borderId="5" xfId="0" applyFont="1" applyFill="1" applyBorder="1" applyAlignment="1">
      <alignment horizontal="left" vertical="top" wrapText="1"/>
    </xf>
    <xf numFmtId="0" fontId="2" fillId="0" borderId="5" xfId="0" applyFont="1" applyFill="1" applyBorder="1" applyAlignment="1">
      <alignment horizontal="left" vertical="top" wrapText="1"/>
    </xf>
    <xf numFmtId="0" fontId="3" fillId="0" borderId="5" xfId="0" applyFont="1" applyFill="1" applyBorder="1" applyAlignment="1">
      <alignment horizontal="left" vertical="top" wrapText="1"/>
    </xf>
    <xf numFmtId="0" fontId="2" fillId="0" borderId="5" xfId="5" applyFont="1" applyFill="1" applyBorder="1" applyAlignment="1">
      <alignment horizontal="left" vertical="top" wrapText="1"/>
    </xf>
    <xf numFmtId="0" fontId="3" fillId="0" borderId="5" xfId="5" applyFont="1" applyFill="1" applyBorder="1" applyAlignment="1">
      <alignment horizontal="left" vertical="top" wrapText="1"/>
    </xf>
    <xf numFmtId="0" fontId="2" fillId="0" borderId="5" xfId="5" applyFont="1" applyFill="1" applyBorder="1" applyAlignment="1">
      <alignment horizontal="left" vertical="top" wrapText="1"/>
    </xf>
    <xf numFmtId="0" fontId="3" fillId="0" borderId="5" xfId="5" applyFont="1" applyFill="1" applyBorder="1" applyAlignment="1">
      <alignment horizontal="left" vertical="top" wrapText="1"/>
    </xf>
    <xf numFmtId="0" fontId="2" fillId="8" borderId="5" xfId="0" applyFont="1" applyFill="1" applyBorder="1" applyAlignment="1">
      <alignment horizontal="center" vertical="center" wrapText="1"/>
    </xf>
    <xf numFmtId="0" fontId="2" fillId="8" borderId="5" xfId="0" applyFont="1" applyFill="1" applyBorder="1" applyAlignment="1">
      <alignment horizontal="center" vertical="center"/>
    </xf>
    <xf numFmtId="0" fontId="2" fillId="6" borderId="5" xfId="0" applyFont="1" applyFill="1" applyBorder="1" applyAlignment="1">
      <alignment horizontal="center" vertical="top" wrapText="1"/>
    </xf>
    <xf numFmtId="0" fontId="2" fillId="6" borderId="5" xfId="0" applyFont="1" applyFill="1" applyBorder="1" applyAlignment="1">
      <alignment horizontal="left" vertical="top" wrapText="1"/>
    </xf>
    <xf numFmtId="0" fontId="2" fillId="8" borderId="5" xfId="0" applyFont="1" applyFill="1" applyBorder="1" applyAlignment="1">
      <alignment vertical="top" wrapText="1"/>
    </xf>
    <xf numFmtId="0" fontId="2" fillId="8" borderId="5" xfId="0" applyFont="1" applyFill="1" applyBorder="1"/>
    <xf numFmtId="0" fontId="2" fillId="6" borderId="14" xfId="0" applyFont="1" applyFill="1" applyBorder="1" applyAlignment="1">
      <alignment horizontal="left" vertical="top" wrapText="1"/>
    </xf>
    <xf numFmtId="15" fontId="2" fillId="6" borderId="14" xfId="0" applyNumberFormat="1" applyFont="1" applyFill="1" applyBorder="1" applyAlignment="1">
      <alignment horizontal="left" vertical="top" wrapText="1"/>
    </xf>
    <xf numFmtId="15" fontId="2" fillId="6" borderId="5" xfId="0" applyNumberFormat="1" applyFont="1" applyFill="1" applyBorder="1" applyAlignment="1">
      <alignment horizontal="left" vertical="top" wrapText="1"/>
    </xf>
    <xf numFmtId="0" fontId="2" fillId="6" borderId="15" xfId="0" applyFont="1" applyFill="1" applyBorder="1" applyAlignment="1">
      <alignment horizontal="left" vertical="top" wrapText="1"/>
    </xf>
    <xf numFmtId="0" fontId="2" fillId="0" borderId="0" xfId="0" applyFont="1" applyFill="1" applyBorder="1"/>
    <xf numFmtId="0" fontId="2" fillId="8" borderId="0" xfId="0" applyFont="1" applyFill="1" applyBorder="1" applyAlignment="1">
      <alignment horizontal="left" vertical="top" wrapText="1"/>
    </xf>
    <xf numFmtId="0" fontId="2" fillId="8" borderId="0" xfId="0" applyFont="1" applyFill="1" applyBorder="1"/>
    <xf numFmtId="0" fontId="2" fillId="0" borderId="0" xfId="0" applyFont="1" applyBorder="1"/>
    <xf numFmtId="0" fontId="2" fillId="0" borderId="5" xfId="0" applyFont="1" applyBorder="1" applyAlignment="1">
      <alignment horizontal="justify" vertical="center" wrapText="1"/>
    </xf>
    <xf numFmtId="0" fontId="2" fillId="2" borderId="5"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0"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2" fillId="2" borderId="3" xfId="0" applyFont="1" applyFill="1" applyBorder="1" applyAlignment="1">
      <alignment horizontal="left"/>
    </xf>
    <xf numFmtId="0" fontId="0" fillId="2" borderId="0" xfId="0" applyFill="1" applyBorder="1" applyAlignment="1">
      <alignment horizontal="left"/>
    </xf>
    <xf numFmtId="0" fontId="0" fillId="2" borderId="4" xfId="0" applyFill="1" applyBorder="1" applyAlignment="1">
      <alignment horizontal="left"/>
    </xf>
    <xf numFmtId="0" fontId="9" fillId="2" borderId="3" xfId="0" applyFont="1" applyFill="1" applyBorder="1" applyAlignment="1">
      <alignment horizontal="center" vertical="center" wrapText="1"/>
    </xf>
    <xf numFmtId="0" fontId="9" fillId="2" borderId="0"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18" fillId="2" borderId="0" xfId="0" applyFont="1" applyFill="1" applyBorder="1" applyAlignment="1">
      <alignment horizontal="center" vertical="center" wrapText="1"/>
    </xf>
    <xf numFmtId="0" fontId="18" fillId="2" borderId="4"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0"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3" fillId="7" borderId="17" xfId="1" applyFont="1" applyFill="1" applyBorder="1" applyAlignment="1">
      <alignment horizontal="center"/>
    </xf>
    <xf numFmtId="0" fontId="4" fillId="7" borderId="18" xfId="1" applyFont="1" applyFill="1" applyBorder="1" applyAlignment="1">
      <alignment horizontal="center"/>
    </xf>
    <xf numFmtId="0" fontId="4" fillId="2" borderId="17" xfId="1" applyFont="1" applyFill="1" applyBorder="1" applyAlignment="1">
      <alignment wrapText="1"/>
    </xf>
    <xf numFmtId="0" fontId="4" fillId="2" borderId="18" xfId="1" applyFont="1" applyFill="1" applyBorder="1" applyAlignment="1">
      <alignment wrapText="1"/>
    </xf>
    <xf numFmtId="0" fontId="4" fillId="2" borderId="19" xfId="1" applyFont="1" applyFill="1" applyBorder="1" applyAlignment="1">
      <alignment horizontal="left" vertical="top" wrapText="1"/>
    </xf>
    <xf numFmtId="0" fontId="4" fillId="2" borderId="20" xfId="1" applyFont="1" applyFill="1" applyBorder="1" applyAlignment="1">
      <alignment horizontal="left" vertical="top" wrapText="1"/>
    </xf>
    <xf numFmtId="0" fontId="4" fillId="2" borderId="21" xfId="1" applyFont="1" applyFill="1" applyBorder="1" applyAlignment="1">
      <alignment horizontal="left" vertical="top" wrapText="1"/>
    </xf>
    <xf numFmtId="0" fontId="4" fillId="2" borderId="22" xfId="1" applyFont="1" applyFill="1" applyBorder="1" applyAlignment="1">
      <alignment horizontal="left" vertical="top" wrapText="1"/>
    </xf>
    <xf numFmtId="0" fontId="4" fillId="2" borderId="23" xfId="1" applyFont="1" applyFill="1" applyBorder="1" applyAlignment="1">
      <alignment horizontal="left" vertical="top" wrapText="1"/>
    </xf>
    <xf numFmtId="0" fontId="4" fillId="2" borderId="8" xfId="1" applyFont="1" applyFill="1" applyBorder="1" applyAlignment="1">
      <alignment horizontal="left" vertical="top" wrapText="1"/>
    </xf>
    <xf numFmtId="0" fontId="3" fillId="7" borderId="17" xfId="1" applyFont="1" applyFill="1" applyBorder="1" applyAlignment="1">
      <alignment horizontal="center" wrapText="1"/>
    </xf>
    <xf numFmtId="0" fontId="19" fillId="0" borderId="13" xfId="1" applyFont="1" applyFill="1" applyBorder="1" applyAlignment="1">
      <alignment vertical="center" wrapText="1"/>
    </xf>
    <xf numFmtId="0" fontId="21" fillId="0" borderId="13" xfId="1" applyFont="1" applyFill="1" applyBorder="1" applyAlignment="1">
      <alignment vertical="center" wrapText="1"/>
    </xf>
    <xf numFmtId="0" fontId="3" fillId="7" borderId="5" xfId="1" applyFont="1" applyFill="1" applyBorder="1" applyAlignment="1">
      <alignment horizontal="center" wrapText="1"/>
    </xf>
    <xf numFmtId="0" fontId="4" fillId="7" borderId="5" xfId="1" applyFont="1" applyFill="1" applyBorder="1" applyAlignment="1">
      <alignment horizontal="center"/>
    </xf>
    <xf numFmtId="0" fontId="4" fillId="2" borderId="5" xfId="1" applyFont="1" applyFill="1" applyBorder="1" applyAlignment="1"/>
    <xf numFmtId="0" fontId="4" fillId="0" borderId="5" xfId="1" applyFont="1" applyBorder="1" applyAlignment="1"/>
    <xf numFmtId="0" fontId="4" fillId="2" borderId="18" xfId="1" applyFont="1" applyFill="1" applyBorder="1" applyAlignment="1"/>
    <xf numFmtId="0" fontId="3" fillId="7" borderId="7" xfId="0" applyFont="1" applyFill="1" applyBorder="1" applyAlignment="1">
      <alignment horizontal="center" vertical="center" wrapText="1"/>
    </xf>
    <xf numFmtId="0" fontId="26" fillId="7" borderId="23" xfId="0" applyFont="1" applyFill="1" applyBorder="1" applyAlignment="1">
      <alignment horizontal="center"/>
    </xf>
    <xf numFmtId="0" fontId="26" fillId="7" borderId="24" xfId="0" applyFont="1" applyFill="1" applyBorder="1" applyAlignment="1">
      <alignment horizontal="center"/>
    </xf>
    <xf numFmtId="0" fontId="0" fillId="0" borderId="24" xfId="0" applyBorder="1" applyAlignment="1"/>
    <xf numFmtId="0" fontId="19" fillId="0" borderId="25" xfId="0" applyFont="1" applyBorder="1" applyAlignment="1">
      <alignment vertical="center" wrapText="1"/>
    </xf>
    <xf numFmtId="0" fontId="19" fillId="0" borderId="13" xfId="0" applyFont="1" applyBorder="1" applyAlignment="1">
      <alignment vertical="center" wrapText="1"/>
    </xf>
    <xf numFmtId="0" fontId="0" fillId="0" borderId="13" xfId="0" applyBorder="1" applyAlignment="1">
      <alignment vertical="center" wrapText="1"/>
    </xf>
    <xf numFmtId="0" fontId="3" fillId="4" borderId="14" xfId="0" applyFont="1" applyFill="1" applyBorder="1" applyAlignment="1">
      <alignment horizontal="center" vertical="center" wrapText="1"/>
    </xf>
    <xf numFmtId="0" fontId="29" fillId="0" borderId="0" xfId="3" applyFont="1" applyBorder="1" applyAlignment="1">
      <alignment vertical="center" wrapText="1"/>
    </xf>
    <xf numFmtId="0" fontId="18" fillId="0" borderId="10" xfId="0" applyFont="1" applyBorder="1" applyAlignment="1">
      <alignment vertical="center" wrapText="1"/>
    </xf>
    <xf numFmtId="0" fontId="6" fillId="0" borderId="10" xfId="0" applyFont="1" applyBorder="1" applyAlignment="1">
      <alignment vertical="center" wrapText="1"/>
    </xf>
    <xf numFmtId="0" fontId="4" fillId="0" borderId="0" xfId="0" applyFont="1" applyAlignment="1">
      <alignment horizontal="center" vertical="center" wrapText="1"/>
    </xf>
    <xf numFmtId="0" fontId="4" fillId="0" borderId="15" xfId="0" applyFont="1" applyBorder="1" applyAlignment="1">
      <alignment horizontal="justify" vertical="center" wrapText="1"/>
    </xf>
    <xf numFmtId="0" fontId="4" fillId="0" borderId="7" xfId="0" applyFont="1" applyBorder="1" applyAlignment="1">
      <alignment horizontal="justify" vertical="center" wrapText="1"/>
    </xf>
    <xf numFmtId="0" fontId="3" fillId="4" borderId="17" xfId="0" applyFont="1" applyFill="1" applyBorder="1" applyAlignment="1">
      <alignment horizontal="center" vertical="center" wrapText="1"/>
    </xf>
    <xf numFmtId="0" fontId="3" fillId="4" borderId="26" xfId="0" applyFont="1" applyFill="1" applyBorder="1" applyAlignment="1">
      <alignment horizontal="center" vertical="center" wrapText="1"/>
    </xf>
    <xf numFmtId="0" fontId="3" fillId="4" borderId="18" xfId="0" applyFont="1" applyFill="1" applyBorder="1" applyAlignment="1">
      <alignment horizontal="center" vertical="center" wrapText="1"/>
    </xf>
    <xf numFmtId="0" fontId="4" fillId="0" borderId="17" xfId="0" applyFont="1" applyBorder="1" applyAlignment="1">
      <alignment horizontal="justify" vertical="center" wrapText="1"/>
    </xf>
    <xf numFmtId="0" fontId="4" fillId="0" borderId="26" xfId="0" applyFont="1" applyBorder="1" applyAlignment="1">
      <alignment horizontal="justify" vertical="center" wrapText="1"/>
    </xf>
    <xf numFmtId="0" fontId="4" fillId="0" borderId="18" xfId="0" applyFont="1" applyBorder="1" applyAlignment="1">
      <alignment horizontal="justify" vertical="center" wrapText="1"/>
    </xf>
  </cellXfs>
  <cellStyles count="7">
    <cellStyle name="Normal" xfId="0" builtinId="0"/>
    <cellStyle name="Normal 2" xfId="1"/>
    <cellStyle name="Normal 2 2" xfId="2"/>
    <cellStyle name="Normal 2 2 2" xfId="5"/>
    <cellStyle name="Normal 2 3" xfId="3"/>
    <cellStyle name="Normal 2 3 2" xfId="6"/>
    <cellStyle name="Normal 2 4"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externalLink" Target="externalLinks/externalLink4.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chartsheet" Target="chartsheets/sheet2.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865845291534651E-2"/>
          <c:y val="9.3031233212374984E-2"/>
          <c:w val="0.61947367133943243"/>
          <c:h val="0.79501691682552833"/>
        </c:manualLayout>
      </c:layout>
      <c:barChart>
        <c:barDir val="col"/>
        <c:grouping val="stacked"/>
        <c:varyColors val="0"/>
        <c:ser>
          <c:idx val="1"/>
          <c:order val="0"/>
          <c:tx>
            <c:strRef>
              <c:f>'Report Data'!$D$3</c:f>
              <c:strCache>
                <c:ptCount val="1"/>
                <c:pt idx="0">
                  <c:v>Work Remaining</c:v>
                </c:pt>
              </c:strCache>
            </c:strRef>
          </c:tx>
          <c:invertIfNegative val="0"/>
          <c:cat>
            <c:numRef>
              <c:f>'Report Data'!$B$4:$B$6</c:f>
              <c:numCache>
                <c:formatCode>General</c:formatCode>
                <c:ptCount val="3"/>
                <c:pt idx="0">
                  <c:v>1</c:v>
                </c:pt>
                <c:pt idx="1">
                  <c:v>2</c:v>
                </c:pt>
                <c:pt idx="2">
                  <c:v>3</c:v>
                </c:pt>
              </c:numCache>
            </c:numRef>
          </c:cat>
          <c:val>
            <c:numRef>
              <c:f>'Report Data'!$D$4:$D$6</c:f>
              <c:numCache>
                <c:formatCode>General</c:formatCode>
                <c:ptCount val="3"/>
                <c:pt idx="0">
                  <c:v>0</c:v>
                </c:pt>
                <c:pt idx="1">
                  <c:v>0</c:v>
                </c:pt>
                <c:pt idx="2">
                  <c:v>0</c:v>
                </c:pt>
              </c:numCache>
            </c:numRef>
          </c:val>
          <c:extLst>
            <c:ext xmlns:c16="http://schemas.microsoft.com/office/drawing/2014/chart" uri="{C3380CC4-5D6E-409C-BE32-E72D297353CC}">
              <c16:uniqueId val="{00000000-9C62-428F-A001-ADF6CE544DAE}"/>
            </c:ext>
          </c:extLst>
        </c:ser>
        <c:ser>
          <c:idx val="2"/>
          <c:order val="1"/>
          <c:tx>
            <c:strRef>
              <c:f>'Report Data'!$E$3</c:f>
              <c:strCache>
                <c:ptCount val="1"/>
                <c:pt idx="0">
                  <c:v>Original Features -Completed ( person days)</c:v>
                </c:pt>
              </c:strCache>
            </c:strRef>
          </c:tx>
          <c:invertIfNegative val="0"/>
          <c:cat>
            <c:numRef>
              <c:f>'Report Data'!$B$4:$B$6</c:f>
              <c:numCache>
                <c:formatCode>General</c:formatCode>
                <c:ptCount val="3"/>
                <c:pt idx="0">
                  <c:v>1</c:v>
                </c:pt>
                <c:pt idx="1">
                  <c:v>2</c:v>
                </c:pt>
                <c:pt idx="2">
                  <c:v>3</c:v>
                </c:pt>
              </c:numCache>
            </c:numRef>
          </c:cat>
          <c:val>
            <c:numRef>
              <c:f>'Report Data'!$E$4:$E$6</c:f>
              <c:numCache>
                <c:formatCode>General</c:formatCode>
                <c:ptCount val="3"/>
                <c:pt idx="0">
                  <c:v>0</c:v>
                </c:pt>
                <c:pt idx="1">
                  <c:v>0</c:v>
                </c:pt>
                <c:pt idx="2">
                  <c:v>0</c:v>
                </c:pt>
              </c:numCache>
            </c:numRef>
          </c:val>
          <c:extLst>
            <c:ext xmlns:c16="http://schemas.microsoft.com/office/drawing/2014/chart" uri="{C3380CC4-5D6E-409C-BE32-E72D297353CC}">
              <c16:uniqueId val="{00000001-9C62-428F-A001-ADF6CE544DAE}"/>
            </c:ext>
          </c:extLst>
        </c:ser>
        <c:ser>
          <c:idx val="3"/>
          <c:order val="2"/>
          <c:tx>
            <c:strRef>
              <c:f>'Report Data'!$F$3</c:f>
              <c:strCache>
                <c:ptCount val="1"/>
                <c:pt idx="0">
                  <c:v>New Features -
Not Completed (person days)</c:v>
                </c:pt>
              </c:strCache>
            </c:strRef>
          </c:tx>
          <c:invertIfNegative val="0"/>
          <c:cat>
            <c:numRef>
              <c:f>'Report Data'!$B$4:$B$6</c:f>
              <c:numCache>
                <c:formatCode>General</c:formatCode>
                <c:ptCount val="3"/>
                <c:pt idx="0">
                  <c:v>1</c:v>
                </c:pt>
                <c:pt idx="1">
                  <c:v>2</c:v>
                </c:pt>
                <c:pt idx="2">
                  <c:v>3</c:v>
                </c:pt>
              </c:numCache>
            </c:numRef>
          </c:cat>
          <c:val>
            <c:numRef>
              <c:f>'Report Data'!$F$4:$F$6</c:f>
              <c:numCache>
                <c:formatCode>General</c:formatCode>
                <c:ptCount val="3"/>
                <c:pt idx="0">
                  <c:v>0</c:v>
                </c:pt>
                <c:pt idx="1">
                  <c:v>0</c:v>
                </c:pt>
                <c:pt idx="2">
                  <c:v>0</c:v>
                </c:pt>
              </c:numCache>
            </c:numRef>
          </c:val>
          <c:extLst>
            <c:ext xmlns:c16="http://schemas.microsoft.com/office/drawing/2014/chart" uri="{C3380CC4-5D6E-409C-BE32-E72D297353CC}">
              <c16:uniqueId val="{00000002-9C62-428F-A001-ADF6CE544DAE}"/>
            </c:ext>
          </c:extLst>
        </c:ser>
        <c:ser>
          <c:idx val="0"/>
          <c:order val="3"/>
          <c:tx>
            <c:strRef>
              <c:f>'Report Data'!$G$3</c:f>
              <c:strCache>
                <c:ptCount val="1"/>
                <c:pt idx="0">
                  <c:v>New Features -Completed (person days)</c:v>
                </c:pt>
              </c:strCache>
            </c:strRef>
          </c:tx>
          <c:invertIfNegative val="0"/>
          <c:cat>
            <c:numRef>
              <c:f>'Report Data'!$B$4:$B$6</c:f>
              <c:numCache>
                <c:formatCode>General</c:formatCode>
                <c:ptCount val="3"/>
                <c:pt idx="0">
                  <c:v>1</c:v>
                </c:pt>
                <c:pt idx="1">
                  <c:v>2</c:v>
                </c:pt>
                <c:pt idx="2">
                  <c:v>3</c:v>
                </c:pt>
              </c:numCache>
            </c:numRef>
          </c:cat>
          <c:val>
            <c:numRef>
              <c:f>'Report Data'!$G$4:$G$6</c:f>
              <c:numCache>
                <c:formatCode>General</c:formatCode>
                <c:ptCount val="3"/>
                <c:pt idx="0">
                  <c:v>0</c:v>
                </c:pt>
                <c:pt idx="1">
                  <c:v>0</c:v>
                </c:pt>
                <c:pt idx="2">
                  <c:v>0</c:v>
                </c:pt>
              </c:numCache>
            </c:numRef>
          </c:val>
          <c:extLst>
            <c:ext xmlns:c16="http://schemas.microsoft.com/office/drawing/2014/chart" uri="{C3380CC4-5D6E-409C-BE32-E72D297353CC}">
              <c16:uniqueId val="{00000003-9C62-428F-A001-ADF6CE544DAE}"/>
            </c:ext>
          </c:extLst>
        </c:ser>
        <c:dLbls>
          <c:showLegendKey val="0"/>
          <c:showVal val="0"/>
          <c:showCatName val="0"/>
          <c:showSerName val="0"/>
          <c:showPercent val="0"/>
          <c:showBubbleSize val="0"/>
        </c:dLbls>
        <c:gapWidth val="150"/>
        <c:overlap val="100"/>
        <c:axId val="537139295"/>
        <c:axId val="1"/>
      </c:barChart>
      <c:catAx>
        <c:axId val="537139295"/>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37139295"/>
        <c:crosses val="autoZero"/>
        <c:crossBetween val="between"/>
      </c:valAx>
    </c:plotArea>
    <c:legend>
      <c:legendPos val="r"/>
      <c:layout>
        <c:manualLayout>
          <c:xMode val="edge"/>
          <c:yMode val="edge"/>
          <c:x val="0.74324524819013005"/>
          <c:y val="0.37825799247621522"/>
          <c:w val="0.25675475180986995"/>
          <c:h val="0.27896348121319997"/>
        </c:manualLayout>
      </c:layout>
      <c:overlay val="0"/>
      <c:txPr>
        <a:bodyPr/>
        <a:lstStyle/>
        <a:p>
          <a:pPr>
            <a:defRPr sz="99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070963913846507"/>
          <c:y val="0.1028936498288676"/>
          <c:w val="0.6024317354767893"/>
          <c:h val="0.83056700307914266"/>
        </c:manualLayout>
      </c:layout>
      <c:pieChart>
        <c:varyColors val="1"/>
        <c:ser>
          <c:idx val="0"/>
          <c:order val="0"/>
          <c:dPt>
            <c:idx val="0"/>
            <c:bubble3D val="0"/>
            <c:extLst>
              <c:ext xmlns:c16="http://schemas.microsoft.com/office/drawing/2014/chart" uri="{C3380CC4-5D6E-409C-BE32-E72D297353CC}">
                <c16:uniqueId val="{00000000-84F2-4FDF-BEA4-9FD6D9CC6AF2}"/>
              </c:ext>
            </c:extLst>
          </c:dPt>
          <c:dPt>
            <c:idx val="1"/>
            <c:bubble3D val="0"/>
            <c:extLst>
              <c:ext xmlns:c16="http://schemas.microsoft.com/office/drawing/2014/chart" uri="{C3380CC4-5D6E-409C-BE32-E72D297353CC}">
                <c16:uniqueId val="{00000001-84F2-4FDF-BEA4-9FD6D9CC6AF2}"/>
              </c:ext>
            </c:extLst>
          </c:dPt>
          <c:dPt>
            <c:idx val="2"/>
            <c:bubble3D val="0"/>
            <c:extLst>
              <c:ext xmlns:c16="http://schemas.microsoft.com/office/drawing/2014/chart" uri="{C3380CC4-5D6E-409C-BE32-E72D297353CC}">
                <c16:uniqueId val="{00000002-84F2-4FDF-BEA4-9FD6D9CC6AF2}"/>
              </c:ext>
            </c:extLst>
          </c:dPt>
          <c:dPt>
            <c:idx val="3"/>
            <c:bubble3D val="0"/>
            <c:extLst>
              <c:ext xmlns:c16="http://schemas.microsoft.com/office/drawing/2014/chart" uri="{C3380CC4-5D6E-409C-BE32-E72D297353CC}">
                <c16:uniqueId val="{00000003-84F2-4FDF-BEA4-9FD6D9CC6AF2}"/>
              </c:ext>
            </c:extLst>
          </c:dPt>
          <c:cat>
            <c:strRef>
              <c:f>'Report Data'!$A$4:$A$7</c:f>
              <c:strCache>
                <c:ptCount val="4"/>
                <c:pt idx="0">
                  <c:v>Release 1</c:v>
                </c:pt>
                <c:pt idx="1">
                  <c:v>Release 2</c:v>
                </c:pt>
                <c:pt idx="2">
                  <c:v>Release 3</c:v>
                </c:pt>
                <c:pt idx="3">
                  <c:v>Not Assigned</c:v>
                </c:pt>
              </c:strCache>
            </c:strRef>
          </c:cat>
          <c:val>
            <c:numRef>
              <c:f>'Report Data'!$C$4:$C$7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4-84F2-4FDF-BEA4-9FD6D9CC6AF2}"/>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overlay val="0"/>
      <c:txPr>
        <a:bodyPr/>
        <a:lstStyle/>
        <a:p>
          <a:pPr>
            <a:defRPr sz="595" b="0" i="0" u="none" strike="noStrike" baseline="0">
              <a:solidFill>
                <a:srgbClr val="000000"/>
              </a:solidFill>
              <a:latin typeface="Calibri"/>
              <a:ea typeface="Calibri"/>
              <a:cs typeface="Calibri"/>
            </a:defRPr>
          </a:pPr>
          <a:endParaRPr lang="en-US"/>
        </a:p>
      </c:txPr>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8.xml"/></Relationships>
</file>

<file path=xl/chartsheets/sheet1.xml><?xml version="1.0" encoding="utf-8"?>
<chartsheet xmlns="http://schemas.openxmlformats.org/spreadsheetml/2006/main" xmlns:r="http://schemas.openxmlformats.org/officeDocument/2006/relationships">
  <sheetPr codeName="Chart8"/>
  <sheetViews>
    <sheetView zoomScale="118"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sheetPr codeName="Chart9"/>
  <sheetViews>
    <sheetView zoomScale="11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emf"/></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image" Target="../media/image6.emf"/></Relationships>
</file>

<file path=xl/drawings/_rels/drawing8.xml.rels><?xml version="1.0" encoding="UTF-8" standalone="yes"?>
<Relationships xmlns="http://schemas.openxmlformats.org/package/2006/relationships"><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2</xdr:col>
      <xdr:colOff>104775</xdr:colOff>
      <xdr:row>1</xdr:row>
      <xdr:rowOff>219075</xdr:rowOff>
    </xdr:from>
    <xdr:to>
      <xdr:col>7</xdr:col>
      <xdr:colOff>0</xdr:colOff>
      <xdr:row>2</xdr:row>
      <xdr:rowOff>219075</xdr:rowOff>
    </xdr:to>
    <xdr:sp macro="" textlink="">
      <xdr:nvSpPr>
        <xdr:cNvPr id="3073" name="Text Box 1"/>
        <xdr:cNvSpPr txBox="1">
          <a:spLocks noChangeArrowheads="1"/>
        </xdr:cNvSpPr>
      </xdr:nvSpPr>
      <xdr:spPr bwMode="auto">
        <a:xfrm>
          <a:off x="933450" y="457200"/>
          <a:ext cx="4476750" cy="228600"/>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21285" name="Line 3"/>
        <xdr:cNvSpPr>
          <a:spLocks noChangeShapeType="1"/>
        </xdr:cNvSpPr>
      </xdr:nvSpPr>
      <xdr:spPr bwMode="auto">
        <a:xfrm>
          <a:off x="304800" y="438150"/>
          <a:ext cx="5343525"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21286" name="Line 4"/>
        <xdr:cNvSpPr>
          <a:spLocks noChangeShapeType="1"/>
        </xdr:cNvSpPr>
      </xdr:nvSpPr>
      <xdr:spPr bwMode="auto">
        <a:xfrm>
          <a:off x="304800" y="666750"/>
          <a:ext cx="5343525"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114300</xdr:colOff>
      <xdr:row>1</xdr:row>
      <xdr:rowOff>85725</xdr:rowOff>
    </xdr:from>
    <xdr:to>
      <xdr:col>2</xdr:col>
      <xdr:colOff>38100</xdr:colOff>
      <xdr:row>3</xdr:row>
      <xdr:rowOff>76200</xdr:rowOff>
    </xdr:to>
    <xdr:pic>
      <xdr:nvPicPr>
        <xdr:cNvPr id="21287"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100" y="323850"/>
          <a:ext cx="4476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504825</xdr:colOff>
      <xdr:row>32</xdr:row>
      <xdr:rowOff>142875</xdr:rowOff>
    </xdr:from>
    <xdr:to>
      <xdr:col>5</xdr:col>
      <xdr:colOff>581025</xdr:colOff>
      <xdr:row>33</xdr:row>
      <xdr:rowOff>133350</xdr:rowOff>
    </xdr:to>
    <xdr:sp macro="" textlink="">
      <xdr:nvSpPr>
        <xdr:cNvPr id="21288" name="Text Box 6"/>
        <xdr:cNvSpPr txBox="1">
          <a:spLocks noChangeArrowheads="1"/>
        </xdr:cNvSpPr>
      </xdr:nvSpPr>
      <xdr:spPr bwMode="auto">
        <a:xfrm>
          <a:off x="2105025" y="7648575"/>
          <a:ext cx="1743075"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3079" name="Text Box 7"/>
        <xdr:cNvSpPr txBox="1">
          <a:spLocks noChangeArrowheads="1"/>
        </xdr:cNvSpPr>
      </xdr:nvSpPr>
      <xdr:spPr bwMode="auto">
        <a:xfrm>
          <a:off x="933450" y="457200"/>
          <a:ext cx="4476750" cy="228600"/>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21290" name="Line 9"/>
        <xdr:cNvSpPr>
          <a:spLocks noChangeShapeType="1"/>
        </xdr:cNvSpPr>
      </xdr:nvSpPr>
      <xdr:spPr bwMode="auto">
        <a:xfrm>
          <a:off x="304800" y="438150"/>
          <a:ext cx="5343525"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21291" name="Line 10"/>
        <xdr:cNvSpPr>
          <a:spLocks noChangeShapeType="1"/>
        </xdr:cNvSpPr>
      </xdr:nvSpPr>
      <xdr:spPr bwMode="auto">
        <a:xfrm>
          <a:off x="304800" y="666750"/>
          <a:ext cx="5343525"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114300</xdr:colOff>
      <xdr:row>1</xdr:row>
      <xdr:rowOff>85725</xdr:rowOff>
    </xdr:from>
    <xdr:to>
      <xdr:col>2</xdr:col>
      <xdr:colOff>38100</xdr:colOff>
      <xdr:row>3</xdr:row>
      <xdr:rowOff>76200</xdr:rowOff>
    </xdr:to>
    <xdr:pic>
      <xdr:nvPicPr>
        <xdr:cNvPr id="21292" name="Picture 1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100" y="323850"/>
          <a:ext cx="4476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1</xdr:row>
      <xdr:rowOff>219075</xdr:rowOff>
    </xdr:from>
    <xdr:to>
      <xdr:col>7</xdr:col>
      <xdr:colOff>0</xdr:colOff>
      <xdr:row>2</xdr:row>
      <xdr:rowOff>219075</xdr:rowOff>
    </xdr:to>
    <xdr:sp macro="" textlink="">
      <xdr:nvSpPr>
        <xdr:cNvPr id="3085" name="Text Box 13"/>
        <xdr:cNvSpPr txBox="1">
          <a:spLocks noChangeArrowheads="1"/>
        </xdr:cNvSpPr>
      </xdr:nvSpPr>
      <xdr:spPr bwMode="auto">
        <a:xfrm>
          <a:off x="933450" y="457200"/>
          <a:ext cx="4476750" cy="228600"/>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21294" name="Line 15"/>
        <xdr:cNvSpPr>
          <a:spLocks noChangeShapeType="1"/>
        </xdr:cNvSpPr>
      </xdr:nvSpPr>
      <xdr:spPr bwMode="auto">
        <a:xfrm>
          <a:off x="304800" y="438150"/>
          <a:ext cx="5343525"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21295" name="Line 16"/>
        <xdr:cNvSpPr>
          <a:spLocks noChangeShapeType="1"/>
        </xdr:cNvSpPr>
      </xdr:nvSpPr>
      <xdr:spPr bwMode="auto">
        <a:xfrm>
          <a:off x="304800" y="666750"/>
          <a:ext cx="5343525"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114300</xdr:colOff>
      <xdr:row>1</xdr:row>
      <xdr:rowOff>85725</xdr:rowOff>
    </xdr:from>
    <xdr:to>
      <xdr:col>2</xdr:col>
      <xdr:colOff>38100</xdr:colOff>
      <xdr:row>3</xdr:row>
      <xdr:rowOff>76200</xdr:rowOff>
    </xdr:to>
    <xdr:pic>
      <xdr:nvPicPr>
        <xdr:cNvPr id="2129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100" y="323850"/>
          <a:ext cx="4476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1</xdr:row>
      <xdr:rowOff>219075</xdr:rowOff>
    </xdr:from>
    <xdr:to>
      <xdr:col>7</xdr:col>
      <xdr:colOff>0</xdr:colOff>
      <xdr:row>2</xdr:row>
      <xdr:rowOff>219075</xdr:rowOff>
    </xdr:to>
    <xdr:sp macro="" textlink="">
      <xdr:nvSpPr>
        <xdr:cNvPr id="3091" name="Text Box 19"/>
        <xdr:cNvSpPr txBox="1">
          <a:spLocks noChangeArrowheads="1"/>
        </xdr:cNvSpPr>
      </xdr:nvSpPr>
      <xdr:spPr bwMode="auto">
        <a:xfrm>
          <a:off x="933450" y="457200"/>
          <a:ext cx="4476750" cy="228600"/>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314325</xdr:colOff>
      <xdr:row>13</xdr:row>
      <xdr:rowOff>142875</xdr:rowOff>
    </xdr:from>
    <xdr:to>
      <xdr:col>6</xdr:col>
      <xdr:colOff>847725</xdr:colOff>
      <xdr:row>20</xdr:row>
      <xdr:rowOff>152400</xdr:rowOff>
    </xdr:to>
    <xdr:pic>
      <xdr:nvPicPr>
        <xdr:cNvPr id="21298" name="Picture 20" descr="content"/>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52499" b="83333"/>
        <a:stretch>
          <a:fillRect/>
        </a:stretch>
      </xdr:blipFill>
      <xdr:spPr bwMode="auto">
        <a:xfrm>
          <a:off x="619125" y="3905250"/>
          <a:ext cx="46863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xdr:row>
      <xdr:rowOff>200025</xdr:rowOff>
    </xdr:from>
    <xdr:to>
      <xdr:col>7</xdr:col>
      <xdr:colOff>0</xdr:colOff>
      <xdr:row>1</xdr:row>
      <xdr:rowOff>200025</xdr:rowOff>
    </xdr:to>
    <xdr:sp macro="" textlink="">
      <xdr:nvSpPr>
        <xdr:cNvPr id="21299" name="Line 21"/>
        <xdr:cNvSpPr>
          <a:spLocks noChangeShapeType="1"/>
        </xdr:cNvSpPr>
      </xdr:nvSpPr>
      <xdr:spPr bwMode="auto">
        <a:xfrm>
          <a:off x="304800" y="438150"/>
          <a:ext cx="5343525"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21300" name="Line 22"/>
        <xdr:cNvSpPr>
          <a:spLocks noChangeShapeType="1"/>
        </xdr:cNvSpPr>
      </xdr:nvSpPr>
      <xdr:spPr bwMode="auto">
        <a:xfrm>
          <a:off x="304800" y="666750"/>
          <a:ext cx="5343525"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114300</xdr:colOff>
      <xdr:row>1</xdr:row>
      <xdr:rowOff>85725</xdr:rowOff>
    </xdr:from>
    <xdr:to>
      <xdr:col>2</xdr:col>
      <xdr:colOff>38100</xdr:colOff>
      <xdr:row>3</xdr:row>
      <xdr:rowOff>76200</xdr:rowOff>
    </xdr:to>
    <xdr:pic>
      <xdr:nvPicPr>
        <xdr:cNvPr id="21301" name="Picture 2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100" y="323850"/>
          <a:ext cx="4476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38100</xdr:colOff>
      <xdr:row>31</xdr:row>
      <xdr:rowOff>0</xdr:rowOff>
    </xdr:from>
    <xdr:to>
      <xdr:col>6</xdr:col>
      <xdr:colOff>1143000</xdr:colOff>
      <xdr:row>32</xdr:row>
      <xdr:rowOff>152400</xdr:rowOff>
    </xdr:to>
    <xdr:pic>
      <xdr:nvPicPr>
        <xdr:cNvPr id="21302" name="Picture 27" descr="foote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42900" y="8448675"/>
          <a:ext cx="5257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76200</xdr:rowOff>
    </xdr:from>
    <xdr:to>
      <xdr:col>0</xdr:col>
      <xdr:colOff>923925</xdr:colOff>
      <xdr:row>0</xdr:row>
      <xdr:rowOff>552450</xdr:rowOff>
    </xdr:to>
    <xdr:pic>
      <xdr:nvPicPr>
        <xdr:cNvPr id="24612"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200"/>
          <a:ext cx="923925" cy="4762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142875</xdr:rowOff>
        </xdr:from>
        <xdr:to>
          <xdr:col>0</xdr:col>
          <xdr:colOff>781050</xdr:colOff>
          <xdr:row>0</xdr:row>
          <xdr:rowOff>590550</xdr:rowOff>
        </xdr:to>
        <xdr:sp macro="" textlink="">
          <xdr:nvSpPr>
            <xdr:cNvPr id="21505" name="Object 1" hidden="1">
              <a:extLst>
                <a:ext uri="{63B3BB69-23CF-44E3-9099-C40C66FF867C}">
                  <a14:compatExt spid="_x0000_s21505"/>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142875</xdr:rowOff>
        </xdr:from>
        <xdr:to>
          <xdr:col>0</xdr:col>
          <xdr:colOff>781050</xdr:colOff>
          <xdr:row>0</xdr:row>
          <xdr:rowOff>590550</xdr:rowOff>
        </xdr:to>
        <xdr:sp macro="" textlink="">
          <xdr:nvSpPr>
            <xdr:cNvPr id="22529" name="Object 1" hidden="1">
              <a:extLst>
                <a:ext uri="{63B3BB69-23CF-44E3-9099-C40C66FF867C}">
                  <a14:compatExt spid="_x0000_s22529"/>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142875</xdr:rowOff>
        </xdr:from>
        <xdr:to>
          <xdr:col>0</xdr:col>
          <xdr:colOff>781050</xdr:colOff>
          <xdr:row>0</xdr:row>
          <xdr:rowOff>590550</xdr:rowOff>
        </xdr:to>
        <xdr:sp macro="" textlink="">
          <xdr:nvSpPr>
            <xdr:cNvPr id="23553" name="Object 1" hidden="1">
              <a:extLst>
                <a:ext uri="{63B3BB69-23CF-44E3-9099-C40C66FF867C}">
                  <a14:compatExt spid="_x0000_s23553"/>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absoluteAnchor>
    <xdr:pos x="0" y="0"/>
    <xdr:ext cx="8669364" cy="628811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0.23149</cdr:x>
      <cdr:y>0.92953</cdr:y>
    </cdr:from>
    <cdr:to>
      <cdr:x>0.5172</cdr:x>
      <cdr:y>0.97372</cdr:y>
    </cdr:to>
    <cdr:sp macro="" textlink="">
      <cdr:nvSpPr>
        <cdr:cNvPr id="2" name="TextBox 1"/>
        <cdr:cNvSpPr txBox="1"/>
      </cdr:nvSpPr>
      <cdr:spPr>
        <a:xfrm xmlns:a="http://schemas.openxmlformats.org/drawingml/2006/main">
          <a:off x="1989399" y="5859683"/>
          <a:ext cx="2489811" cy="271829"/>
        </a:xfrm>
        <a:prstGeom xmlns:a="http://schemas.openxmlformats.org/drawingml/2006/main" prst="rect">
          <a:avLst/>
        </a:prstGeom>
      </cdr:spPr>
      <cdr:txBody>
        <a:bodyPr xmlns:a="http://schemas.openxmlformats.org/drawingml/2006/main" vert="horz" wrap="none" rtlCol="0" anchor="t" anchorCtr="1"/>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rtl="0"/>
          <a:r>
            <a:rPr lang="en-US" sz="1600" b="1" i="0" baseline="0">
              <a:latin typeface="Calibri"/>
            </a:rPr>
            <a:t>Release Iteration Number</a:t>
          </a:r>
          <a:endParaRPr lang="en-US" sz="1600" b="1"/>
        </a:p>
      </cdr:txBody>
    </cdr:sp>
  </cdr:relSizeAnchor>
  <cdr:relSizeAnchor xmlns:cdr="http://schemas.openxmlformats.org/drawingml/2006/chartDrawing">
    <cdr:from>
      <cdr:x>0.00442</cdr:x>
      <cdr:y>0.27511</cdr:y>
    </cdr:from>
    <cdr:to>
      <cdr:x>0.04648</cdr:x>
      <cdr:y>0.78051</cdr:y>
    </cdr:to>
    <cdr:sp macro="" textlink="">
      <cdr:nvSpPr>
        <cdr:cNvPr id="3" name="TextBox 1"/>
        <cdr:cNvSpPr txBox="1"/>
      </cdr:nvSpPr>
      <cdr:spPr>
        <a:xfrm xmlns:a="http://schemas.openxmlformats.org/drawingml/2006/main">
          <a:off x="36145" y="1734193"/>
          <a:ext cx="353730" cy="3185047"/>
        </a:xfrm>
        <a:prstGeom xmlns:a="http://schemas.openxmlformats.org/drawingml/2006/main" prst="rect">
          <a:avLst/>
        </a:prstGeom>
      </cdr:spPr>
      <cdr:txBody>
        <a:bodyPr xmlns:a="http://schemas.openxmlformats.org/drawingml/2006/main" vert="vert270" wrap="none" rtlCol="0" anchor="t" anchorCtr="1"/>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rtl="0"/>
          <a:r>
            <a:rPr lang="en-US" sz="1600" b="1" i="0" baseline="0">
              <a:latin typeface="Calibri"/>
            </a:rPr>
            <a:t>Estimated Effort (in person days)</a:t>
          </a:r>
          <a:endParaRPr lang="en-US" sz="1600" b="1"/>
        </a:p>
      </cdr:txBody>
    </cdr:sp>
  </cdr:relSizeAnchor>
  <cdr:relSizeAnchor xmlns:cdr="http://schemas.openxmlformats.org/drawingml/2006/chartDrawing">
    <cdr:from>
      <cdr:x>0.29421</cdr:x>
      <cdr:y>0.01533</cdr:y>
    </cdr:from>
    <cdr:to>
      <cdr:x>0.66844</cdr:x>
      <cdr:y>0.06716</cdr:y>
    </cdr:to>
    <cdr:sp macro="" textlink="">
      <cdr:nvSpPr>
        <cdr:cNvPr id="4" name="TextBox 1"/>
        <cdr:cNvSpPr txBox="1"/>
      </cdr:nvSpPr>
      <cdr:spPr>
        <a:xfrm xmlns:a="http://schemas.openxmlformats.org/drawingml/2006/main">
          <a:off x="2544019" y="96456"/>
          <a:ext cx="3278836" cy="326206"/>
        </a:xfrm>
        <a:prstGeom xmlns:a="http://schemas.openxmlformats.org/drawingml/2006/main" prst="rect">
          <a:avLst/>
        </a:prstGeom>
        <a:solidFill xmlns:a="http://schemas.openxmlformats.org/drawingml/2006/main">
          <a:srgbClr val="1F497D">
            <a:lumMod val="40000"/>
            <a:lumOff val="60000"/>
          </a:srgbClr>
        </a:solidFill>
      </cdr:spPr>
      <cdr:txBody>
        <a:bodyPr xmlns:a="http://schemas.openxmlformats.org/drawingml/2006/main" vert="horz" wrap="none" rtlCol="0" anchor="t" anchorCtr="1"/>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rtl="0"/>
          <a:r>
            <a:rPr lang="en-US" sz="1600" b="1" i="0" baseline="0">
              <a:latin typeface="Arial" pitchFamily="34" charset="0"/>
              <a:cs typeface="Arial" pitchFamily="34" charset="0"/>
            </a:rPr>
            <a:t>Release Burn Down Chart</a:t>
          </a:r>
          <a:endParaRPr lang="en-US" sz="1600" b="1">
            <a:latin typeface="Arial" pitchFamily="34" charset="0"/>
            <a:cs typeface="Arial" pitchFamily="34" charset="0"/>
          </a:endParaRPr>
        </a:p>
      </cdr:txBody>
    </cdr:sp>
  </cdr:relSizeAnchor>
  <cdr:relSizeAnchor xmlns:cdr="http://schemas.openxmlformats.org/drawingml/2006/chartDrawing">
    <cdr:from>
      <cdr:x>0</cdr:x>
      <cdr:y>0</cdr:y>
    </cdr:from>
    <cdr:to>
      <cdr:x>0.89764</cdr:x>
      <cdr:y>1</cdr:y>
    </cdr:to>
    <cdr:pic>
      <cdr:nvPicPr>
        <cdr:cNvPr id="6" name="chart"/>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7781925" cy="6296025"/>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absoluteAnchor>
    <xdr:pos x="0" y="0"/>
    <xdr:ext cx="8669364" cy="628811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0.34016</cdr:x>
      <cdr:y>0.01966</cdr:y>
    </cdr:from>
    <cdr:to>
      <cdr:x>0.61601</cdr:x>
      <cdr:y>0.10147</cdr:y>
    </cdr:to>
    <cdr:sp macro="" textlink="">
      <cdr:nvSpPr>
        <cdr:cNvPr id="2" name="TextBox 1"/>
        <cdr:cNvSpPr txBox="1"/>
      </cdr:nvSpPr>
      <cdr:spPr>
        <a:xfrm xmlns:a="http://schemas.openxmlformats.org/drawingml/2006/main">
          <a:off x="2881614" y="84398"/>
          <a:ext cx="2556076" cy="349652"/>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pPr marL="0" marR="0" indent="0" algn="ctr" defTabSz="914400" rtl="0" eaLnBrk="1" fontAlgn="auto" latinLnBrk="0" hangingPunct="1">
            <a:lnSpc>
              <a:spcPct val="100000"/>
            </a:lnSpc>
            <a:spcBef>
              <a:spcPts val="0"/>
            </a:spcBef>
            <a:spcAft>
              <a:spcPts val="0"/>
            </a:spcAft>
            <a:buClrTx/>
            <a:buSzTx/>
            <a:buFontTx/>
            <a:buNone/>
            <a:tabLst/>
            <a:defRPr/>
          </a:pPr>
          <a:r>
            <a:rPr lang="en-US" sz="1800" b="1" i="0" baseline="0">
              <a:latin typeface="+mn-lt"/>
              <a:ea typeface="+mn-ea"/>
              <a:cs typeface="+mn-cs"/>
            </a:rPr>
            <a:t>Effort By  Release Iteration</a:t>
          </a:r>
          <a:endParaRPr lang="en-US" sz="1800" b="1"/>
        </a:p>
      </cdr:txBody>
    </cdr:sp>
  </cdr:relSizeAnchor>
  <cdr:relSizeAnchor xmlns:cdr="http://schemas.openxmlformats.org/drawingml/2006/chartDrawing">
    <cdr:from>
      <cdr:x>0</cdr:x>
      <cdr:y>0</cdr:y>
    </cdr:from>
    <cdr:to>
      <cdr:x>0.999</cdr:x>
      <cdr:y>1</cdr:y>
    </cdr:to>
    <cdr:pic>
      <cdr:nvPicPr>
        <cdr:cNvPr id="25602" name="Chart 2" descr="image002"/>
        <cdr:cNvPicPr>
          <a:picLocks xmlns:a="http://schemas.openxmlformats.org/drawingml/2006/main" noChangeAspect="1" noChangeArrowheads="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0" y="0"/>
          <a:ext cx="8660695" cy="6288114"/>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cdr:spPr>
    </cdr:pic>
  </cdr:relSizeAnchor>
</c:userShapes>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142875</xdr:rowOff>
        </xdr:from>
        <xdr:to>
          <xdr:col>0</xdr:col>
          <xdr:colOff>1019175</xdr:colOff>
          <xdr:row>0</xdr:row>
          <xdr:rowOff>590550</xdr:rowOff>
        </xdr:to>
        <xdr:sp macro="" textlink="">
          <xdr:nvSpPr>
            <xdr:cNvPr id="28673" name="Object 1" hidden="1">
              <a:extLst>
                <a:ext uri="{63B3BB69-23CF-44E3-9099-C40C66FF867C}">
                  <a14:compatExt spid="_x0000_s28673"/>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p31297\sw%20dfss\WINDOWS\TEMP\docs2\6SIGMA\CLASS\gb%20datafiles\DFSS\Analysi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sinentsiwr\qa\CTS\Quality\SCM\SCM_Items_Stagewise_05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sintdlsqaa\Quality\Documents%20and%20Settings\105557\Desktop\QTDM-DFTTR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sintdlsqaa\Quality\Documents%20and%20Settings\105557\Desktop\QTDM-SCMP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sheetNames>
    <definedNames>
      <definedName name="Calc_sens2"/>
      <definedName name="Clear_sens2"/>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MG"/>
      <sheetName val="Access Rights - Large projects"/>
      <sheetName val="Access Rights - Small projects"/>
      <sheetName val="Access Rights"/>
      <sheetName val="Change Request Details"/>
      <sheetName val="Change Request - Template Code"/>
      <sheetName val="List of SCI tools"/>
      <sheetName val="List Of SCI Codes"/>
      <sheetName val="SCI Metrics"/>
      <sheetName val="Data"/>
    </sheetNames>
    <sheetDataSet>
      <sheetData sheetId="0"/>
      <sheetData sheetId="1"/>
      <sheetData sheetId="2"/>
      <sheetData sheetId="3"/>
      <sheetData sheetId="4"/>
      <sheetData sheetId="5"/>
      <sheetData sheetId="6"/>
      <sheetData sheetId="7"/>
      <sheetData sheetId="8"/>
      <sheetData sheetId="9">
        <row r="2">
          <cell r="A2" t="str">
            <v>Initiated</v>
          </cell>
          <cell r="B2" t="str">
            <v>High</v>
          </cell>
        </row>
        <row r="3">
          <cell r="A3" t="str">
            <v>Impact Analysis</v>
          </cell>
          <cell r="B3" t="str">
            <v>Medium</v>
          </cell>
        </row>
        <row r="4">
          <cell r="A4" t="str">
            <v>Approved</v>
          </cell>
          <cell r="B4" t="str">
            <v>Low</v>
          </cell>
        </row>
        <row r="5">
          <cell r="A5" t="str">
            <v>Rejected</v>
          </cell>
        </row>
        <row r="6">
          <cell r="A6" t="str">
            <v>Deferred</v>
          </cell>
        </row>
        <row r="7">
          <cell r="A7" t="str">
            <v>Development</v>
          </cell>
        </row>
        <row r="8">
          <cell r="A8" t="str">
            <v>Closed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Defect_Log"/>
      <sheetName val="Defect_Resolution"/>
      <sheetName val="DefectTypes_Causes"/>
      <sheetName val="QTDSCMP_Data"/>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SCM_Team&amp;ReleaseNumberingScheme"/>
      <sheetName val="Project_SCIs"/>
      <sheetName val="Quality_Records"/>
      <sheetName val="Proj_Lib_Bckup_Archival"/>
      <sheetName val="User_Groups_Access"/>
      <sheetName val="User_Access "/>
      <sheetName val="QTDSCMP_Data"/>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oleObject" Target="../embeddings/Microsoft_Word_97_-_2003_Document.doc"/></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5.emf"/><Relationship Id="rId4" Type="http://schemas.openxmlformats.org/officeDocument/2006/relationships/oleObject" Target="../embeddings/Microsoft_Word_97_-_2003_Document1.doc"/></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comments" Target="../comments1.xml"/><Relationship Id="rId5" Type="http://schemas.openxmlformats.org/officeDocument/2006/relationships/image" Target="../media/image5.emf"/><Relationship Id="rId4" Type="http://schemas.openxmlformats.org/officeDocument/2006/relationships/oleObject" Target="../embeddings/Microsoft_Word_97_-_2003_Document2.doc"/></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6.bin"/><Relationship Id="rId5" Type="http://schemas.openxmlformats.org/officeDocument/2006/relationships/image" Target="../media/image5.emf"/><Relationship Id="rId4" Type="http://schemas.openxmlformats.org/officeDocument/2006/relationships/oleObject" Target="../embeddings/Microsoft_Word_97_-_2003_Document3.doc"/></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37"/>
  <sheetViews>
    <sheetView topLeftCell="A34" zoomScaleNormal="100" workbookViewId="0">
      <selection activeCell="G25" sqref="G25"/>
    </sheetView>
  </sheetViews>
  <sheetFormatPr defaultColWidth="9.85546875" defaultRowHeight="12.75" x14ac:dyDescent="0.2"/>
  <cols>
    <col min="1" max="1" width="4.5703125" style="1" customWidth="1"/>
    <col min="2" max="2" width="7.85546875" style="4" customWidth="1"/>
    <col min="3" max="3" width="11.5703125" style="25" customWidth="1"/>
    <col min="4" max="4" width="12.28515625" style="4" bestFit="1" customWidth="1"/>
    <col min="5" max="5" width="12.7109375" style="4" customWidth="1"/>
    <col min="6" max="6" width="17.85546875" style="4" customWidth="1"/>
    <col min="7" max="7" width="17.85546875" style="26" customWidth="1"/>
    <col min="8" max="16384" width="9.85546875" style="4"/>
  </cols>
  <sheetData>
    <row r="1" spans="2:7" ht="18.75" thickBot="1" x14ac:dyDescent="0.3">
      <c r="B1" s="2"/>
      <c r="C1" s="2"/>
      <c r="D1" s="1"/>
      <c r="E1" s="1"/>
      <c r="F1" s="1"/>
      <c r="G1" s="3"/>
    </row>
    <row r="2" spans="2:7" ht="18" x14ac:dyDescent="0.25">
      <c r="B2" s="5"/>
      <c r="C2" s="6"/>
      <c r="D2" s="7"/>
      <c r="E2" s="7"/>
      <c r="F2" s="7"/>
      <c r="G2" s="50"/>
    </row>
    <row r="3" spans="2:7" ht="18" x14ac:dyDescent="0.25">
      <c r="B3" s="8"/>
      <c r="C3" s="2"/>
      <c r="D3" s="1"/>
      <c r="E3" s="1"/>
      <c r="F3" s="1"/>
      <c r="G3" s="51"/>
    </row>
    <row r="4" spans="2:7" ht="18" x14ac:dyDescent="0.25">
      <c r="B4" s="8"/>
      <c r="C4" s="2"/>
      <c r="D4" s="1"/>
      <c r="E4" s="1"/>
      <c r="F4" s="1"/>
      <c r="G4" s="51"/>
    </row>
    <row r="5" spans="2:7" ht="18" x14ac:dyDescent="0.25">
      <c r="B5" s="8"/>
      <c r="C5" s="2"/>
      <c r="D5" s="1"/>
      <c r="E5" s="1"/>
      <c r="F5" s="1"/>
      <c r="G5" s="51"/>
    </row>
    <row r="6" spans="2:7" ht="20.25" customHeight="1" x14ac:dyDescent="0.2">
      <c r="B6" s="146" t="s">
        <v>123</v>
      </c>
      <c r="C6" s="147"/>
      <c r="D6" s="147"/>
      <c r="E6" s="147"/>
      <c r="F6" s="147"/>
      <c r="G6" s="148"/>
    </row>
    <row r="7" spans="2:7" ht="21" customHeight="1" x14ac:dyDescent="0.2">
      <c r="B7" s="146"/>
      <c r="C7" s="147"/>
      <c r="D7" s="147"/>
      <c r="E7" s="147"/>
      <c r="F7" s="147"/>
      <c r="G7" s="148"/>
    </row>
    <row r="8" spans="2:7" ht="29.25" customHeight="1" x14ac:dyDescent="0.2">
      <c r="B8" s="146"/>
      <c r="C8" s="147"/>
      <c r="D8" s="147"/>
      <c r="E8" s="147"/>
      <c r="F8" s="147"/>
      <c r="G8" s="148"/>
    </row>
    <row r="9" spans="2:7" ht="23.25" x14ac:dyDescent="0.2">
      <c r="B9" s="149"/>
      <c r="C9" s="150"/>
      <c r="D9" s="150"/>
      <c r="E9" s="150"/>
      <c r="F9" s="150"/>
      <c r="G9" s="151"/>
    </row>
    <row r="10" spans="2:7" ht="55.5" customHeight="1" x14ac:dyDescent="0.2">
      <c r="B10" s="146" t="s">
        <v>115</v>
      </c>
      <c r="C10" s="147"/>
      <c r="D10" s="147"/>
      <c r="E10" s="147"/>
      <c r="F10" s="147"/>
      <c r="G10" s="148"/>
    </row>
    <row r="11" spans="2:7" ht="17.45" customHeight="1" x14ac:dyDescent="0.2">
      <c r="B11" s="152"/>
      <c r="C11" s="153"/>
      <c r="D11" s="153"/>
      <c r="E11" s="153"/>
      <c r="F11" s="153"/>
      <c r="G11" s="154"/>
    </row>
    <row r="12" spans="2:7" ht="18.75" customHeight="1" x14ac:dyDescent="0.2">
      <c r="B12" s="152"/>
      <c r="C12" s="153"/>
      <c r="D12" s="153"/>
      <c r="E12" s="153"/>
      <c r="F12" s="153"/>
      <c r="G12" s="154"/>
    </row>
    <row r="13" spans="2:7" ht="20.25" x14ac:dyDescent="0.2">
      <c r="B13" s="140">
        <v>1</v>
      </c>
      <c r="C13" s="141"/>
      <c r="D13" s="141"/>
      <c r="E13" s="141"/>
      <c r="F13" s="141"/>
      <c r="G13" s="142"/>
    </row>
    <row r="14" spans="2:7" x14ac:dyDescent="0.2">
      <c r="B14" s="10"/>
      <c r="C14" s="3"/>
      <c r="D14" s="3"/>
      <c r="E14" s="3"/>
      <c r="F14" s="3"/>
      <c r="G14" s="9"/>
    </row>
    <row r="15" spans="2:7" x14ac:dyDescent="0.2">
      <c r="B15" s="11"/>
      <c r="C15" s="12"/>
      <c r="D15" s="1"/>
      <c r="E15" s="1"/>
      <c r="F15" s="1"/>
      <c r="G15" s="9"/>
    </row>
    <row r="16" spans="2:7" x14ac:dyDescent="0.2">
      <c r="B16" s="11"/>
      <c r="C16" s="12"/>
      <c r="D16" s="1"/>
      <c r="E16" s="1"/>
      <c r="F16" s="1"/>
      <c r="G16" s="9"/>
    </row>
    <row r="17" spans="1:8" x14ac:dyDescent="0.2">
      <c r="B17" s="11"/>
      <c r="C17" s="12"/>
      <c r="D17" s="1"/>
      <c r="E17" s="1"/>
      <c r="F17" s="1"/>
      <c r="G17" s="9"/>
    </row>
    <row r="18" spans="1:8" x14ac:dyDescent="0.2">
      <c r="B18" s="11"/>
      <c r="C18" s="12"/>
      <c r="D18" s="1"/>
      <c r="E18" s="1"/>
      <c r="F18" s="1"/>
      <c r="G18" s="9"/>
    </row>
    <row r="19" spans="1:8" x14ac:dyDescent="0.2">
      <c r="B19" s="11"/>
      <c r="C19" s="12"/>
      <c r="D19" s="1"/>
      <c r="E19" s="1"/>
      <c r="F19" s="1"/>
      <c r="G19" s="9"/>
    </row>
    <row r="20" spans="1:8" x14ac:dyDescent="0.2">
      <c r="B20" s="11"/>
      <c r="C20" s="12"/>
      <c r="D20" s="1"/>
      <c r="E20" s="1"/>
      <c r="F20" s="1"/>
      <c r="G20" s="9"/>
    </row>
    <row r="21" spans="1:8" ht="14.25" x14ac:dyDescent="0.2">
      <c r="B21" s="143"/>
      <c r="C21" s="144"/>
      <c r="D21" s="144"/>
      <c r="E21" s="144"/>
      <c r="F21" s="144"/>
      <c r="G21" s="145"/>
      <c r="H21"/>
    </row>
    <row r="22" spans="1:8" x14ac:dyDescent="0.2">
      <c r="B22" s="11"/>
      <c r="C22" s="12"/>
      <c r="D22" s="1"/>
      <c r="E22" s="1"/>
      <c r="F22" s="1"/>
      <c r="G22" s="9"/>
    </row>
    <row r="23" spans="1:8" x14ac:dyDescent="0.2">
      <c r="B23" s="11"/>
      <c r="C23" s="12"/>
      <c r="D23" s="1"/>
      <c r="E23" s="1"/>
      <c r="F23" s="1"/>
      <c r="G23" s="9"/>
    </row>
    <row r="24" spans="1:8" x14ac:dyDescent="0.2">
      <c r="B24" s="11"/>
      <c r="C24" s="12"/>
      <c r="D24" s="1"/>
      <c r="E24" s="1"/>
      <c r="F24" s="1"/>
      <c r="G24" s="9"/>
    </row>
    <row r="25" spans="1:8" ht="55.5" customHeight="1" x14ac:dyDescent="0.2">
      <c r="B25" s="11"/>
      <c r="C25" s="13"/>
      <c r="D25" s="13" t="s">
        <v>19</v>
      </c>
      <c r="E25" s="13" t="s">
        <v>20</v>
      </c>
      <c r="F25" s="13" t="s">
        <v>2</v>
      </c>
      <c r="G25" s="51"/>
      <c r="H25" s="1"/>
    </row>
    <row r="26" spans="1:8" ht="87" customHeight="1" x14ac:dyDescent="0.2">
      <c r="B26" s="11"/>
      <c r="C26" s="42" t="s">
        <v>3</v>
      </c>
      <c r="D26" s="139" t="s">
        <v>182</v>
      </c>
      <c r="E26" s="139" t="s">
        <v>183</v>
      </c>
      <c r="F26" s="139" t="s">
        <v>184</v>
      </c>
      <c r="G26" s="51"/>
      <c r="H26" s="1"/>
    </row>
    <row r="27" spans="1:8" ht="25.5" x14ac:dyDescent="0.2">
      <c r="B27" s="11"/>
      <c r="C27" s="42" t="s">
        <v>4</v>
      </c>
      <c r="D27" s="113" t="s">
        <v>122</v>
      </c>
      <c r="E27" s="43"/>
      <c r="F27" s="43"/>
      <c r="G27" s="51"/>
      <c r="H27" s="1"/>
    </row>
    <row r="28" spans="1:8" ht="21" customHeight="1" x14ac:dyDescent="0.2">
      <c r="B28" s="11"/>
      <c r="C28" s="42" t="s">
        <v>5</v>
      </c>
      <c r="D28" s="43"/>
      <c r="E28" s="43"/>
      <c r="F28" s="43"/>
      <c r="G28" s="51"/>
      <c r="H28" s="1"/>
    </row>
    <row r="29" spans="1:8" x14ac:dyDescent="0.2">
      <c r="B29" s="11"/>
      <c r="C29" s="42" t="s">
        <v>0</v>
      </c>
      <c r="D29" s="44"/>
      <c r="E29" s="44"/>
      <c r="F29" s="44"/>
      <c r="G29" s="51"/>
      <c r="H29" s="1"/>
    </row>
    <row r="30" spans="1:8" s="17" customFormat="1" x14ac:dyDescent="0.2">
      <c r="A30" s="14"/>
      <c r="B30" s="11"/>
      <c r="C30" s="15"/>
      <c r="D30" s="1"/>
      <c r="E30" s="1"/>
      <c r="F30" s="16"/>
      <c r="G30" s="52"/>
    </row>
    <row r="31" spans="1:8" s="17" customFormat="1" x14ac:dyDescent="0.2">
      <c r="A31" s="14"/>
      <c r="B31" s="38" t="s">
        <v>17</v>
      </c>
      <c r="C31" s="19"/>
      <c r="D31" s="1"/>
      <c r="E31" s="1"/>
      <c r="F31" s="39" t="s">
        <v>10</v>
      </c>
      <c r="G31" s="20"/>
    </row>
    <row r="32" spans="1:8" s="17" customFormat="1" x14ac:dyDescent="0.2">
      <c r="A32" s="14"/>
      <c r="B32" s="18"/>
      <c r="C32" s="19"/>
      <c r="D32" s="1"/>
      <c r="E32" s="1"/>
      <c r="F32" s="16"/>
      <c r="G32" s="52"/>
    </row>
    <row r="33" spans="2:7" x14ac:dyDescent="0.2">
      <c r="B33" s="11"/>
      <c r="C33" s="21"/>
      <c r="D33" s="22"/>
      <c r="E33" s="22"/>
      <c r="F33" s="22"/>
      <c r="G33" s="53"/>
    </row>
    <row r="34" spans="2:7" ht="13.5" thickBot="1" x14ac:dyDescent="0.25">
      <c r="B34" s="40" t="s">
        <v>129</v>
      </c>
      <c r="C34" s="23"/>
      <c r="D34" s="24"/>
      <c r="E34" s="24"/>
      <c r="F34" s="41" t="s">
        <v>9</v>
      </c>
      <c r="G34" s="54"/>
    </row>
    <row r="35" spans="2:7" ht="12.75" customHeight="1" x14ac:dyDescent="0.2"/>
    <row r="36" spans="2:7" x14ac:dyDescent="0.2">
      <c r="B36" s="27"/>
      <c r="C36" s="28"/>
      <c r="D36" s="29"/>
    </row>
    <row r="37" spans="2:7" x14ac:dyDescent="0.2">
      <c r="B37" s="30"/>
    </row>
  </sheetData>
  <mergeCells count="7">
    <mergeCell ref="B13:G13"/>
    <mergeCell ref="B21:G21"/>
    <mergeCell ref="B6:G7"/>
    <mergeCell ref="B10:G10"/>
    <mergeCell ref="B9:G9"/>
    <mergeCell ref="B8:G8"/>
    <mergeCell ref="B11:G12"/>
  </mergeCells>
  <phoneticPr fontId="0" type="noConversion"/>
  <pageMargins left="0.75" right="0.75" top="1" bottom="1" header="0.5" footer="0.5"/>
  <pageSetup scale="94" orientation="portrait" r:id="rId1"/>
  <headerFooter alignWithMargins="0">
    <oddFooter>&amp;RPage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O56"/>
  <sheetViews>
    <sheetView zoomScaleNormal="100" workbookViewId="0">
      <selection activeCell="B1" sqref="B1:H1"/>
    </sheetView>
  </sheetViews>
  <sheetFormatPr defaultColWidth="9.85546875" defaultRowHeight="12.75" x14ac:dyDescent="0.2"/>
  <cols>
    <col min="1" max="1" width="15.7109375" style="65" customWidth="1"/>
    <col min="2" max="2" width="7.85546875" style="57" customWidth="1"/>
    <col min="3" max="3" width="41.42578125" style="57" customWidth="1"/>
    <col min="4" max="4" width="86.5703125" style="57" customWidth="1"/>
    <col min="5" max="5" width="15.85546875" style="57" customWidth="1"/>
    <col min="6" max="6" width="22.7109375" style="58" bestFit="1" customWidth="1"/>
    <col min="7" max="16384" width="9.85546875" style="57"/>
  </cols>
  <sheetData>
    <row r="1" spans="2:15" s="55" customFormat="1" ht="57" customHeight="1" thickBot="1" x14ac:dyDescent="0.25">
      <c r="B1" s="166" t="s">
        <v>128</v>
      </c>
      <c r="C1" s="167"/>
      <c r="D1" s="167"/>
      <c r="E1" s="167"/>
      <c r="F1" s="167"/>
      <c r="G1" s="167"/>
      <c r="H1" s="167"/>
      <c r="N1" s="56"/>
      <c r="O1" s="56"/>
    </row>
    <row r="2" spans="2:15" ht="13.5" thickTop="1" x14ac:dyDescent="0.2"/>
    <row r="3" spans="2:15" ht="3" customHeight="1" x14ac:dyDescent="0.2"/>
    <row r="4" spans="2:15" ht="28.5" customHeight="1" x14ac:dyDescent="0.2">
      <c r="C4" s="168" t="s">
        <v>22</v>
      </c>
      <c r="D4" s="169"/>
    </row>
    <row r="5" spans="2:15" x14ac:dyDescent="0.2">
      <c r="C5" s="59" t="s">
        <v>23</v>
      </c>
      <c r="D5" s="59"/>
    </row>
    <row r="6" spans="2:15" x14ac:dyDescent="0.2">
      <c r="C6" s="170" t="s">
        <v>24</v>
      </c>
      <c r="D6" s="171"/>
    </row>
    <row r="7" spans="2:15" x14ac:dyDescent="0.2">
      <c r="C7" s="60" t="s">
        <v>25</v>
      </c>
      <c r="D7" s="61" t="s">
        <v>26</v>
      </c>
    </row>
    <row r="8" spans="2:15" x14ac:dyDescent="0.2">
      <c r="C8" s="60" t="s">
        <v>27</v>
      </c>
      <c r="D8" s="61" t="s">
        <v>28</v>
      </c>
    </row>
    <row r="9" spans="2:15" ht="38.25" x14ac:dyDescent="0.2">
      <c r="C9" s="60" t="s">
        <v>29</v>
      </c>
      <c r="D9" s="61" t="s">
        <v>30</v>
      </c>
    </row>
    <row r="10" spans="2:15" x14ac:dyDescent="0.2">
      <c r="C10" s="60" t="s">
        <v>31</v>
      </c>
      <c r="D10" s="61" t="s">
        <v>32</v>
      </c>
    </row>
    <row r="11" spans="2:15" ht="25.5" x14ac:dyDescent="0.2">
      <c r="C11" s="60" t="s">
        <v>33</v>
      </c>
      <c r="D11" s="61" t="s">
        <v>34</v>
      </c>
    </row>
    <row r="12" spans="2:15" x14ac:dyDescent="0.2">
      <c r="C12" s="60" t="s">
        <v>35</v>
      </c>
      <c r="D12" s="62" t="s">
        <v>36</v>
      </c>
    </row>
    <row r="13" spans="2:15" x14ac:dyDescent="0.2">
      <c r="C13" s="60" t="s">
        <v>37</v>
      </c>
      <c r="D13" s="61" t="s">
        <v>38</v>
      </c>
    </row>
    <row r="14" spans="2:15" x14ac:dyDescent="0.2">
      <c r="C14" s="63" t="s">
        <v>39</v>
      </c>
      <c r="D14" s="62" t="s">
        <v>40</v>
      </c>
    </row>
    <row r="15" spans="2:15" ht="25.5" x14ac:dyDescent="0.2">
      <c r="C15" s="60" t="s">
        <v>41</v>
      </c>
      <c r="D15" s="61" t="s">
        <v>42</v>
      </c>
    </row>
    <row r="18" spans="3:4" ht="30" customHeight="1" x14ac:dyDescent="0.2">
      <c r="C18" s="168" t="s">
        <v>43</v>
      </c>
      <c r="D18" s="169"/>
    </row>
    <row r="19" spans="3:4" ht="107.25" customHeight="1" x14ac:dyDescent="0.2">
      <c r="C19" s="157" t="s">
        <v>44</v>
      </c>
      <c r="D19" s="172"/>
    </row>
    <row r="20" spans="3:4" x14ac:dyDescent="0.2">
      <c r="C20" s="60" t="s">
        <v>45</v>
      </c>
      <c r="D20" s="61" t="s">
        <v>46</v>
      </c>
    </row>
    <row r="21" spans="3:4" x14ac:dyDescent="0.2">
      <c r="C21" s="60" t="s">
        <v>47</v>
      </c>
      <c r="D21" s="61" t="s">
        <v>48</v>
      </c>
    </row>
    <row r="22" spans="3:4" x14ac:dyDescent="0.2">
      <c r="C22" s="60" t="s">
        <v>49</v>
      </c>
      <c r="D22" s="61" t="s">
        <v>50</v>
      </c>
    </row>
    <row r="23" spans="3:4" x14ac:dyDescent="0.2">
      <c r="C23" s="60" t="s">
        <v>51</v>
      </c>
      <c r="D23" s="61" t="s">
        <v>52</v>
      </c>
    </row>
    <row r="24" spans="3:4" x14ac:dyDescent="0.2">
      <c r="C24" s="60" t="s">
        <v>53</v>
      </c>
      <c r="D24" s="61" t="s">
        <v>54</v>
      </c>
    </row>
    <row r="25" spans="3:4" ht="38.25" x14ac:dyDescent="0.2">
      <c r="C25" s="64" t="s">
        <v>101</v>
      </c>
      <c r="D25" s="62" t="s">
        <v>102</v>
      </c>
    </row>
    <row r="26" spans="3:4" ht="25.5" x14ac:dyDescent="0.2">
      <c r="C26" s="60" t="s">
        <v>55</v>
      </c>
      <c r="D26" s="61" t="s">
        <v>56</v>
      </c>
    </row>
    <row r="27" spans="3:4" x14ac:dyDescent="0.2">
      <c r="C27" s="60" t="s">
        <v>57</v>
      </c>
      <c r="D27" s="61" t="s">
        <v>58</v>
      </c>
    </row>
    <row r="28" spans="3:4" x14ac:dyDescent="0.2">
      <c r="C28" s="60" t="s">
        <v>59</v>
      </c>
      <c r="D28" s="62" t="s">
        <v>60</v>
      </c>
    </row>
    <row r="29" spans="3:4" x14ac:dyDescent="0.2">
      <c r="C29" s="60" t="s">
        <v>61</v>
      </c>
      <c r="D29" s="61" t="s">
        <v>62</v>
      </c>
    </row>
    <row r="30" spans="3:4" ht="135" customHeight="1" x14ac:dyDescent="0.2">
      <c r="C30" s="60" t="s">
        <v>63</v>
      </c>
      <c r="D30" s="61" t="s">
        <v>64</v>
      </c>
    </row>
    <row r="31" spans="3:4" ht="89.25" x14ac:dyDescent="0.2">
      <c r="C31" s="60" t="s">
        <v>65</v>
      </c>
      <c r="D31" s="61" t="s">
        <v>66</v>
      </c>
    </row>
    <row r="32" spans="3:4" ht="119.25" customHeight="1" x14ac:dyDescent="0.2">
      <c r="C32" s="63" t="s">
        <v>67</v>
      </c>
      <c r="D32" s="61" t="s">
        <v>68</v>
      </c>
    </row>
    <row r="33" spans="1:4" ht="177.75" customHeight="1" x14ac:dyDescent="0.2">
      <c r="C33" s="63" t="s">
        <v>69</v>
      </c>
      <c r="D33" s="61" t="s">
        <v>70</v>
      </c>
    </row>
    <row r="34" spans="1:4" ht="229.5" x14ac:dyDescent="0.2">
      <c r="C34" s="63" t="s">
        <v>71</v>
      </c>
      <c r="D34" s="61" t="s">
        <v>72</v>
      </c>
    </row>
    <row r="35" spans="1:4" x14ac:dyDescent="0.2">
      <c r="A35" s="66"/>
      <c r="B35" s="67"/>
      <c r="C35" s="155" t="s">
        <v>73</v>
      </c>
      <c r="D35" s="156"/>
    </row>
    <row r="36" spans="1:4" ht="63.75" x14ac:dyDescent="0.2">
      <c r="C36" s="60" t="s">
        <v>74</v>
      </c>
      <c r="D36" s="61" t="s">
        <v>75</v>
      </c>
    </row>
    <row r="37" spans="1:4" ht="63.75" x14ac:dyDescent="0.2">
      <c r="C37" s="64" t="s">
        <v>76</v>
      </c>
      <c r="D37" s="61" t="s">
        <v>77</v>
      </c>
    </row>
    <row r="38" spans="1:4" ht="63.75" x14ac:dyDescent="0.2">
      <c r="C38" s="60" t="s">
        <v>78</v>
      </c>
      <c r="D38" s="61" t="s">
        <v>79</v>
      </c>
    </row>
    <row r="40" spans="1:4" x14ac:dyDescent="0.2">
      <c r="C40" s="155" t="s">
        <v>80</v>
      </c>
      <c r="D40" s="156"/>
    </row>
    <row r="41" spans="1:4" ht="354.75" customHeight="1" x14ac:dyDescent="0.2">
      <c r="C41" s="157" t="s">
        <v>81</v>
      </c>
      <c r="D41" s="158"/>
    </row>
    <row r="44" spans="1:4" x14ac:dyDescent="0.2">
      <c r="C44" s="155" t="s">
        <v>82</v>
      </c>
      <c r="D44" s="156"/>
    </row>
    <row r="45" spans="1:4" ht="360.75" customHeight="1" x14ac:dyDescent="0.2">
      <c r="C45" s="157" t="s">
        <v>83</v>
      </c>
      <c r="D45" s="158"/>
    </row>
    <row r="46" spans="1:4" x14ac:dyDescent="0.2">
      <c r="C46" s="155" t="s">
        <v>84</v>
      </c>
      <c r="D46" s="156"/>
    </row>
    <row r="47" spans="1:4" ht="153" customHeight="1" x14ac:dyDescent="0.2">
      <c r="C47" s="157" t="s">
        <v>85</v>
      </c>
      <c r="D47" s="158"/>
    </row>
    <row r="50" spans="3:4" ht="33" customHeight="1" x14ac:dyDescent="0.2">
      <c r="C50" s="165" t="s">
        <v>113</v>
      </c>
      <c r="D50" s="156"/>
    </row>
    <row r="51" spans="3:4" ht="33" customHeight="1" x14ac:dyDescent="0.2">
      <c r="C51" s="159" t="s">
        <v>114</v>
      </c>
      <c r="D51" s="160"/>
    </row>
    <row r="52" spans="3:4" ht="25.5" customHeight="1" x14ac:dyDescent="0.2">
      <c r="C52" s="161"/>
      <c r="D52" s="162"/>
    </row>
    <row r="53" spans="3:4" ht="25.5" customHeight="1" x14ac:dyDescent="0.2">
      <c r="C53" s="161"/>
      <c r="D53" s="162"/>
    </row>
    <row r="54" spans="3:4" ht="18" customHeight="1" x14ac:dyDescent="0.2">
      <c r="C54" s="161"/>
      <c r="D54" s="162"/>
    </row>
    <row r="55" spans="3:4" ht="25.5" customHeight="1" x14ac:dyDescent="0.2">
      <c r="C55" s="161"/>
      <c r="D55" s="162"/>
    </row>
    <row r="56" spans="3:4" ht="25.5" customHeight="1" x14ac:dyDescent="0.2">
      <c r="C56" s="163"/>
      <c r="D56" s="164"/>
    </row>
  </sheetData>
  <mergeCells count="14">
    <mergeCell ref="C40:D40"/>
    <mergeCell ref="C41:D41"/>
    <mergeCell ref="B1:H1"/>
    <mergeCell ref="C4:D4"/>
    <mergeCell ref="C6:D6"/>
    <mergeCell ref="C18:D18"/>
    <mergeCell ref="C19:D19"/>
    <mergeCell ref="C35:D35"/>
    <mergeCell ref="C44:D44"/>
    <mergeCell ref="C45:D45"/>
    <mergeCell ref="C46:D46"/>
    <mergeCell ref="C47:D47"/>
    <mergeCell ref="C51:D56"/>
    <mergeCell ref="C50:D50"/>
  </mergeCells>
  <dataValidations count="2">
    <dataValidation type="list" allowBlank="1" showInputMessage="1" showErrorMessage="1" sqref="H1">
      <formula1>"Functional, External Interface, User Interface,System Interface, Non functional"</formula1>
    </dataValidation>
    <dataValidation type="list" allowBlank="1" showInputMessage="1" showErrorMessage="1" sqref="D1:G1">
      <formula1>"Simple,Average,Complex"</formula1>
    </dataValidation>
  </dataValidations>
  <pageMargins left="0.75" right="0.75" top="1" bottom="1" header="0.5" footer="0.5"/>
  <pageSetup paperSize="9" orientation="portrait" r:id="rId1"/>
  <headerFooter alignWithMargins="0">
    <oddFooter>&amp;RPage &amp;P of &amp;N</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AH197"/>
  <sheetViews>
    <sheetView workbookViewId="0">
      <selection activeCell="G5" sqref="G5"/>
    </sheetView>
  </sheetViews>
  <sheetFormatPr defaultColWidth="8.7109375" defaultRowHeight="12.75" x14ac:dyDescent="0.2"/>
  <cols>
    <col min="1" max="1" width="11.7109375" style="86" customWidth="1"/>
    <col min="2" max="2" width="13.5703125" style="86" customWidth="1"/>
    <col min="3" max="3" width="34.7109375" style="86" customWidth="1"/>
    <col min="4" max="4" width="27.140625" style="86" customWidth="1"/>
    <col min="5" max="5" width="34.85546875" style="86" customWidth="1"/>
    <col min="6" max="7" width="11.7109375" style="86" customWidth="1"/>
    <col min="8" max="8" width="12.28515625" style="86" bestFit="1" customWidth="1"/>
    <col min="9" max="9" width="8.5703125" style="87" customWidth="1"/>
    <col min="10" max="34" width="8.7109375" style="69" customWidth="1"/>
    <col min="35" max="16384" width="8.7109375" style="85"/>
  </cols>
  <sheetData>
    <row r="1" spans="1:34" s="55" customFormat="1" ht="57" customHeight="1" thickBot="1" x14ac:dyDescent="0.25">
      <c r="B1" s="166" t="s">
        <v>125</v>
      </c>
      <c r="C1" s="167"/>
      <c r="D1" s="167"/>
      <c r="E1" s="167"/>
      <c r="F1" s="167"/>
      <c r="G1" s="167"/>
      <c r="H1" s="167"/>
    </row>
    <row r="2" spans="1:34" s="70" customFormat="1" ht="39" thickTop="1" x14ac:dyDescent="0.2">
      <c r="A2" s="68" t="s">
        <v>25</v>
      </c>
      <c r="B2" s="68" t="s">
        <v>86</v>
      </c>
      <c r="C2" s="68" t="s">
        <v>29</v>
      </c>
      <c r="D2" s="68" t="s">
        <v>31</v>
      </c>
      <c r="E2" s="68" t="s">
        <v>87</v>
      </c>
      <c r="F2" s="68" t="s">
        <v>35</v>
      </c>
      <c r="G2" s="68" t="s">
        <v>37</v>
      </c>
      <c r="H2" s="68" t="s">
        <v>39</v>
      </c>
      <c r="I2" s="68" t="s">
        <v>41</v>
      </c>
      <c r="J2" s="69"/>
      <c r="K2" s="69"/>
      <c r="L2" s="69"/>
      <c r="M2" s="69"/>
      <c r="N2" s="69"/>
      <c r="O2" s="69"/>
      <c r="P2" s="69"/>
      <c r="Q2" s="69"/>
      <c r="R2" s="69"/>
      <c r="S2" s="69"/>
      <c r="T2" s="69"/>
      <c r="U2" s="69"/>
      <c r="V2" s="69"/>
      <c r="W2" s="69"/>
      <c r="X2" s="69"/>
      <c r="Y2" s="69"/>
      <c r="Z2" s="69"/>
      <c r="AA2" s="69"/>
      <c r="AB2" s="69"/>
      <c r="AC2" s="69"/>
      <c r="AD2" s="69"/>
      <c r="AE2" s="69"/>
      <c r="AF2" s="69"/>
      <c r="AG2" s="69"/>
      <c r="AH2" s="69"/>
    </row>
    <row r="3" spans="1:34" s="73" customFormat="1" ht="76.5" x14ac:dyDescent="0.2">
      <c r="A3" s="117">
        <v>1</v>
      </c>
      <c r="B3" s="117" t="s">
        <v>130</v>
      </c>
      <c r="C3" s="117" t="s">
        <v>131</v>
      </c>
      <c r="D3" s="117" t="s">
        <v>132</v>
      </c>
      <c r="E3" s="117" t="s">
        <v>118</v>
      </c>
      <c r="F3" s="117" t="s">
        <v>119</v>
      </c>
      <c r="G3" s="117" t="s">
        <v>116</v>
      </c>
      <c r="H3" s="117" t="s">
        <v>117</v>
      </c>
      <c r="I3" s="117"/>
      <c r="J3" s="72"/>
      <c r="K3" s="72"/>
      <c r="L3" s="72"/>
      <c r="M3" s="72"/>
      <c r="N3" s="72"/>
      <c r="O3" s="72"/>
      <c r="P3" s="72"/>
      <c r="Q3" s="72"/>
      <c r="R3" s="72"/>
      <c r="S3" s="72"/>
      <c r="T3" s="72"/>
      <c r="U3" s="72"/>
      <c r="V3" s="72"/>
      <c r="W3" s="72"/>
      <c r="X3" s="72"/>
      <c r="Y3" s="72"/>
      <c r="Z3" s="72"/>
      <c r="AA3" s="72"/>
      <c r="AB3" s="72"/>
      <c r="AC3" s="72"/>
      <c r="AD3" s="72"/>
      <c r="AE3" s="72"/>
      <c r="AF3" s="72"/>
      <c r="AG3" s="72"/>
      <c r="AH3" s="72"/>
    </row>
    <row r="4" spans="1:34" s="73" customFormat="1" ht="129" customHeight="1" x14ac:dyDescent="0.2">
      <c r="A4" s="71">
        <v>2</v>
      </c>
      <c r="B4" s="118" t="s">
        <v>133</v>
      </c>
      <c r="C4" s="118" t="s">
        <v>134</v>
      </c>
      <c r="D4" s="118" t="s">
        <v>137</v>
      </c>
      <c r="E4" s="118" t="s">
        <v>118</v>
      </c>
      <c r="F4" s="118" t="s">
        <v>119</v>
      </c>
      <c r="G4" s="118" t="s">
        <v>135</v>
      </c>
      <c r="H4" s="118" t="s">
        <v>117</v>
      </c>
      <c r="I4" s="118"/>
      <c r="J4" s="72"/>
      <c r="K4" s="72"/>
      <c r="L4" s="72"/>
      <c r="M4" s="72"/>
      <c r="N4" s="72"/>
      <c r="O4" s="72"/>
      <c r="P4" s="72"/>
      <c r="Q4" s="72"/>
      <c r="R4" s="72"/>
      <c r="S4" s="72"/>
      <c r="T4" s="72"/>
      <c r="U4" s="72"/>
      <c r="V4" s="72"/>
      <c r="W4" s="72"/>
      <c r="X4" s="72"/>
      <c r="Y4" s="72"/>
      <c r="Z4" s="72"/>
      <c r="AA4" s="72"/>
      <c r="AB4" s="72"/>
      <c r="AC4" s="72"/>
      <c r="AD4" s="72"/>
      <c r="AE4" s="72"/>
      <c r="AF4" s="72"/>
      <c r="AG4" s="72"/>
      <c r="AH4" s="72"/>
    </row>
    <row r="5" spans="1:34" s="75" customFormat="1" ht="38.25" x14ac:dyDescent="0.2">
      <c r="A5" s="121">
        <v>3</v>
      </c>
      <c r="B5" s="120" t="s">
        <v>138</v>
      </c>
      <c r="C5" s="120" t="s">
        <v>139</v>
      </c>
      <c r="D5" s="120" t="s">
        <v>140</v>
      </c>
      <c r="E5" s="120" t="s">
        <v>118</v>
      </c>
      <c r="F5" s="120" t="s">
        <v>119</v>
      </c>
      <c r="G5" s="120" t="s">
        <v>116</v>
      </c>
      <c r="H5" s="120" t="s">
        <v>117</v>
      </c>
      <c r="I5" s="120"/>
      <c r="J5" s="72"/>
      <c r="K5" s="72"/>
      <c r="L5" s="72"/>
      <c r="M5" s="72"/>
      <c r="N5" s="72"/>
      <c r="O5" s="72"/>
      <c r="P5" s="72"/>
      <c r="Q5" s="72"/>
      <c r="R5" s="72"/>
      <c r="S5" s="72"/>
      <c r="T5" s="72"/>
      <c r="U5" s="72"/>
      <c r="V5" s="72"/>
      <c r="W5" s="72"/>
      <c r="X5" s="72"/>
      <c r="Y5" s="72"/>
      <c r="Z5" s="72"/>
      <c r="AA5" s="72"/>
      <c r="AB5" s="72"/>
      <c r="AC5" s="72"/>
      <c r="AD5" s="72"/>
      <c r="AE5" s="72"/>
      <c r="AF5" s="72"/>
      <c r="AG5" s="72"/>
      <c r="AH5" s="72"/>
    </row>
    <row r="6" spans="1:34" s="73" customFormat="1" ht="159" hidden="1" customHeight="1" x14ac:dyDescent="0.2">
      <c r="A6" s="74">
        <v>3</v>
      </c>
      <c r="B6" s="74" t="s">
        <v>88</v>
      </c>
      <c r="C6" s="74"/>
      <c r="D6" s="119" t="s">
        <v>136</v>
      </c>
      <c r="E6" s="74"/>
      <c r="F6" s="71"/>
      <c r="G6" s="74"/>
      <c r="H6" s="71"/>
      <c r="I6" s="71" t="s">
        <v>89</v>
      </c>
      <c r="J6" s="72"/>
      <c r="K6" s="72"/>
      <c r="L6" s="72"/>
      <c r="M6" s="72"/>
      <c r="N6" s="72"/>
      <c r="O6" s="72"/>
      <c r="P6" s="72"/>
      <c r="Q6" s="72"/>
      <c r="R6" s="72"/>
      <c r="S6" s="72"/>
      <c r="T6" s="72"/>
      <c r="U6" s="72"/>
      <c r="V6" s="72"/>
      <c r="W6" s="72"/>
      <c r="X6" s="72"/>
      <c r="Y6" s="72"/>
      <c r="Z6" s="72"/>
      <c r="AA6" s="72"/>
      <c r="AB6" s="72"/>
      <c r="AC6" s="72"/>
      <c r="AD6" s="72"/>
      <c r="AE6" s="72"/>
      <c r="AF6" s="72"/>
      <c r="AG6" s="72"/>
      <c r="AH6" s="72"/>
    </row>
    <row r="7" spans="1:34" s="77" customFormat="1" ht="102" x14ac:dyDescent="0.2">
      <c r="A7" s="123">
        <v>4</v>
      </c>
      <c r="B7" s="122" t="s">
        <v>141</v>
      </c>
      <c r="C7" s="122" t="s">
        <v>142</v>
      </c>
      <c r="D7" s="122" t="s">
        <v>143</v>
      </c>
      <c r="E7" s="122" t="s">
        <v>118</v>
      </c>
      <c r="F7" s="122" t="s">
        <v>119</v>
      </c>
      <c r="G7" s="122" t="s">
        <v>135</v>
      </c>
      <c r="H7" s="122" t="s">
        <v>117</v>
      </c>
      <c r="I7" s="71"/>
      <c r="J7" s="72"/>
      <c r="K7" s="72"/>
      <c r="L7" s="72"/>
      <c r="M7" s="72"/>
      <c r="N7" s="72"/>
      <c r="O7" s="72"/>
      <c r="P7" s="72"/>
      <c r="Q7" s="72"/>
      <c r="R7" s="72"/>
      <c r="S7" s="72"/>
      <c r="T7" s="72"/>
      <c r="U7" s="72"/>
      <c r="V7" s="72"/>
      <c r="W7" s="72"/>
      <c r="X7" s="72"/>
      <c r="Y7" s="72"/>
      <c r="Z7" s="72"/>
      <c r="AA7" s="72"/>
      <c r="AB7" s="72"/>
      <c r="AC7" s="72"/>
      <c r="AD7" s="72"/>
      <c r="AE7" s="72"/>
      <c r="AF7" s="72"/>
      <c r="AG7" s="72"/>
      <c r="AH7" s="72"/>
    </row>
    <row r="8" spans="1:34" s="77" customFormat="1" x14ac:dyDescent="0.2">
      <c r="A8" s="76"/>
      <c r="B8" s="74"/>
      <c r="C8" s="74"/>
      <c r="D8" s="74"/>
      <c r="E8" s="74"/>
      <c r="F8" s="71"/>
      <c r="G8" s="74"/>
      <c r="H8" s="71"/>
      <c r="I8" s="71"/>
      <c r="J8" s="72"/>
      <c r="K8" s="72"/>
      <c r="L8" s="72"/>
      <c r="M8" s="72"/>
      <c r="N8" s="72"/>
      <c r="O8" s="72"/>
      <c r="P8" s="72"/>
      <c r="Q8" s="72"/>
      <c r="R8" s="72"/>
      <c r="S8" s="72"/>
      <c r="T8" s="72"/>
      <c r="U8" s="72"/>
      <c r="V8" s="72"/>
      <c r="W8" s="72"/>
      <c r="X8" s="72"/>
      <c r="Y8" s="72"/>
      <c r="Z8" s="72"/>
      <c r="AA8" s="72"/>
      <c r="AB8" s="72"/>
      <c r="AC8" s="72"/>
      <c r="AD8" s="72"/>
      <c r="AE8" s="72"/>
      <c r="AF8" s="72"/>
      <c r="AG8" s="72"/>
      <c r="AH8" s="72"/>
    </row>
    <row r="9" spans="1:34" s="79" customFormat="1" x14ac:dyDescent="0.2">
      <c r="A9" s="74"/>
      <c r="B9" s="74"/>
      <c r="C9" s="74"/>
      <c r="D9" s="74"/>
      <c r="E9" s="74"/>
      <c r="F9" s="71"/>
      <c r="G9" s="74"/>
      <c r="H9" s="71"/>
      <c r="I9" s="71"/>
      <c r="J9" s="78"/>
      <c r="K9" s="78"/>
      <c r="L9" s="78"/>
      <c r="M9" s="78"/>
      <c r="N9" s="78"/>
      <c r="O9" s="78"/>
      <c r="P9" s="78"/>
      <c r="Q9" s="78"/>
      <c r="R9" s="78"/>
      <c r="S9" s="78"/>
      <c r="T9" s="78"/>
      <c r="U9" s="78"/>
      <c r="V9" s="78"/>
      <c r="W9" s="78"/>
      <c r="X9" s="78"/>
      <c r="Y9" s="78"/>
      <c r="Z9" s="78"/>
      <c r="AA9" s="78"/>
      <c r="AB9" s="78"/>
      <c r="AC9" s="78"/>
      <c r="AD9" s="78"/>
      <c r="AE9" s="78"/>
      <c r="AF9" s="78"/>
      <c r="AG9" s="78"/>
      <c r="AH9" s="78"/>
    </row>
    <row r="10" spans="1:34" s="79" customFormat="1" x14ac:dyDescent="0.2">
      <c r="A10" s="74"/>
      <c r="B10" s="74"/>
      <c r="C10" s="74"/>
      <c r="D10" s="74"/>
      <c r="E10" s="74"/>
      <c r="F10" s="71"/>
      <c r="G10" s="74"/>
      <c r="H10" s="71"/>
      <c r="I10" s="71"/>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row>
    <row r="11" spans="1:34" s="79" customFormat="1" x14ac:dyDescent="0.2">
      <c r="A11" s="74"/>
      <c r="B11" s="74"/>
      <c r="C11" s="74"/>
      <c r="D11" s="74"/>
      <c r="E11" s="74"/>
      <c r="F11" s="71"/>
      <c r="G11" s="74"/>
      <c r="H11" s="71"/>
      <c r="I11" s="71"/>
      <c r="J11" s="78"/>
      <c r="K11" s="78"/>
      <c r="L11" s="78"/>
      <c r="M11" s="78"/>
      <c r="N11" s="78"/>
      <c r="O11" s="78"/>
      <c r="P11" s="78"/>
      <c r="Q11" s="78"/>
      <c r="R11" s="78"/>
      <c r="S11" s="78"/>
      <c r="T11" s="78"/>
      <c r="U11" s="78"/>
      <c r="V11" s="78"/>
      <c r="W11" s="78"/>
      <c r="X11" s="78"/>
      <c r="Y11" s="78"/>
      <c r="Z11" s="78"/>
      <c r="AA11" s="78"/>
      <c r="AB11" s="78"/>
      <c r="AC11" s="78"/>
      <c r="AD11" s="78"/>
      <c r="AE11" s="78"/>
      <c r="AF11" s="78"/>
      <c r="AG11" s="78"/>
      <c r="AH11" s="78"/>
    </row>
    <row r="12" spans="1:34" s="79" customFormat="1" x14ac:dyDescent="0.2">
      <c r="A12" s="74"/>
      <c r="B12" s="74"/>
      <c r="C12" s="74"/>
      <c r="D12" s="74"/>
      <c r="E12" s="74"/>
      <c r="F12" s="71"/>
      <c r="G12" s="74"/>
      <c r="H12" s="71"/>
      <c r="I12" s="71"/>
      <c r="J12" s="78"/>
      <c r="K12" s="78"/>
      <c r="L12" s="78"/>
      <c r="M12" s="78"/>
      <c r="N12" s="78"/>
      <c r="O12" s="78"/>
      <c r="P12" s="78"/>
      <c r="Q12" s="78"/>
      <c r="R12" s="78"/>
      <c r="S12" s="78"/>
      <c r="T12" s="78"/>
      <c r="U12" s="78"/>
      <c r="V12" s="78"/>
      <c r="W12" s="78"/>
      <c r="X12" s="78"/>
      <c r="Y12" s="78"/>
      <c r="Z12" s="78"/>
      <c r="AA12" s="78"/>
      <c r="AB12" s="78"/>
      <c r="AC12" s="78"/>
      <c r="AD12" s="78"/>
      <c r="AE12" s="78"/>
      <c r="AF12" s="78"/>
      <c r="AG12" s="78"/>
      <c r="AH12" s="78"/>
    </row>
    <row r="13" spans="1:34" s="79" customFormat="1" x14ac:dyDescent="0.2">
      <c r="A13" s="74"/>
      <c r="B13" s="74"/>
      <c r="C13" s="74"/>
      <c r="D13" s="74"/>
      <c r="E13" s="74"/>
      <c r="F13" s="71"/>
      <c r="G13" s="74"/>
      <c r="H13" s="71"/>
      <c r="I13" s="71"/>
      <c r="J13" s="72"/>
      <c r="K13" s="72"/>
      <c r="L13" s="72"/>
      <c r="M13" s="72"/>
      <c r="N13" s="72"/>
      <c r="O13" s="72"/>
      <c r="P13" s="72"/>
      <c r="Q13" s="72"/>
      <c r="R13" s="72"/>
      <c r="S13" s="72"/>
      <c r="T13" s="72"/>
      <c r="U13" s="72"/>
      <c r="V13" s="72"/>
      <c r="W13" s="72"/>
      <c r="X13" s="72"/>
      <c r="Y13" s="72"/>
      <c r="Z13" s="72"/>
      <c r="AA13" s="72"/>
      <c r="AB13" s="72"/>
      <c r="AC13" s="72"/>
      <c r="AD13" s="72"/>
      <c r="AE13" s="72"/>
      <c r="AF13" s="72"/>
      <c r="AG13" s="72"/>
      <c r="AH13" s="72"/>
    </row>
    <row r="14" spans="1:34" s="79" customFormat="1" x14ac:dyDescent="0.2">
      <c r="A14" s="74"/>
      <c r="B14" s="74"/>
      <c r="C14" s="74"/>
      <c r="D14" s="74"/>
      <c r="E14" s="74"/>
      <c r="F14" s="71"/>
      <c r="G14" s="74"/>
      <c r="H14" s="71"/>
      <c r="I14" s="71"/>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row>
    <row r="15" spans="1:34" s="77" customFormat="1" x14ac:dyDescent="0.2">
      <c r="A15" s="76"/>
      <c r="B15" s="74"/>
      <c r="C15" s="74"/>
      <c r="D15" s="74"/>
      <c r="E15" s="74"/>
      <c r="F15" s="71"/>
      <c r="G15" s="74"/>
      <c r="H15" s="71"/>
      <c r="I15" s="71"/>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row>
    <row r="16" spans="1:34" s="77" customFormat="1" x14ac:dyDescent="0.2">
      <c r="A16" s="76"/>
      <c r="B16" s="74"/>
      <c r="C16" s="74"/>
      <c r="D16" s="74"/>
      <c r="E16" s="74"/>
      <c r="F16" s="71"/>
      <c r="G16" s="74"/>
      <c r="H16" s="71"/>
      <c r="I16" s="71"/>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row>
    <row r="17" spans="1:34" s="79" customFormat="1" x14ac:dyDescent="0.2">
      <c r="A17" s="74"/>
      <c r="B17" s="74"/>
      <c r="C17" s="74"/>
      <c r="D17" s="74"/>
      <c r="E17" s="74"/>
      <c r="F17" s="71"/>
      <c r="G17" s="74"/>
      <c r="H17" s="71"/>
      <c r="I17" s="71"/>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row>
    <row r="18" spans="1:34" s="75" customFormat="1" x14ac:dyDescent="0.2">
      <c r="A18" s="74"/>
      <c r="B18" s="74"/>
      <c r="C18" s="74"/>
      <c r="D18" s="74"/>
      <c r="E18" s="74"/>
      <c r="F18" s="71"/>
      <c r="G18" s="74"/>
      <c r="H18" s="71"/>
      <c r="I18" s="80"/>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row>
    <row r="19" spans="1:34" s="75" customFormat="1" x14ac:dyDescent="0.2">
      <c r="A19" s="74"/>
      <c r="B19" s="74"/>
      <c r="C19" s="74"/>
      <c r="D19" s="74"/>
      <c r="E19" s="74"/>
      <c r="F19" s="71"/>
      <c r="G19" s="74"/>
      <c r="H19" s="71"/>
      <c r="I19" s="71"/>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row>
    <row r="20" spans="1:34" s="75" customFormat="1" x14ac:dyDescent="0.2">
      <c r="A20" s="74"/>
      <c r="B20" s="74"/>
      <c r="C20" s="74"/>
      <c r="D20" s="74"/>
      <c r="E20" s="74"/>
      <c r="F20" s="71"/>
      <c r="G20" s="74"/>
      <c r="H20" s="71"/>
      <c r="I20" s="71"/>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row>
    <row r="21" spans="1:34" s="75" customFormat="1" x14ac:dyDescent="0.2">
      <c r="A21" s="74"/>
      <c r="B21" s="74"/>
      <c r="C21" s="74"/>
      <c r="D21" s="74"/>
      <c r="E21" s="74"/>
      <c r="F21" s="71"/>
      <c r="G21" s="74"/>
      <c r="H21" s="71"/>
      <c r="I21" s="71"/>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row>
    <row r="22" spans="1:34" s="79" customFormat="1" x14ac:dyDescent="0.2">
      <c r="A22" s="74"/>
      <c r="B22" s="74"/>
      <c r="C22" s="74"/>
      <c r="D22" s="74"/>
      <c r="E22" s="74"/>
      <c r="F22" s="71"/>
      <c r="G22" s="74"/>
      <c r="H22" s="71"/>
      <c r="I22" s="71"/>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row>
    <row r="23" spans="1:34" s="75" customFormat="1" x14ac:dyDescent="0.2">
      <c r="A23" s="74"/>
      <c r="B23" s="74"/>
      <c r="C23" s="74"/>
      <c r="D23" s="74"/>
      <c r="E23" s="74"/>
      <c r="F23" s="71"/>
      <c r="G23" s="74"/>
      <c r="H23" s="71"/>
      <c r="I23" s="71"/>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row>
    <row r="24" spans="1:34" s="83" customFormat="1" x14ac:dyDescent="0.2">
      <c r="A24" s="81"/>
      <c r="B24" s="74"/>
      <c r="C24" s="74"/>
      <c r="D24" s="74"/>
      <c r="E24" s="74"/>
      <c r="F24" s="71"/>
      <c r="G24" s="74"/>
      <c r="H24" s="71"/>
      <c r="I24" s="8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row>
    <row r="25" spans="1:34" s="83" customFormat="1" x14ac:dyDescent="0.2">
      <c r="A25" s="81"/>
      <c r="B25" s="74"/>
      <c r="C25" s="74"/>
      <c r="D25" s="74"/>
      <c r="E25" s="74"/>
      <c r="F25" s="71"/>
      <c r="G25" s="74"/>
      <c r="H25" s="71"/>
      <c r="I25" s="8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row>
    <row r="26" spans="1:34" s="83" customFormat="1" x14ac:dyDescent="0.2">
      <c r="A26" s="81"/>
      <c r="B26" s="74"/>
      <c r="C26" s="74"/>
      <c r="D26" s="74"/>
      <c r="E26" s="74"/>
      <c r="F26" s="71"/>
      <c r="G26" s="74"/>
      <c r="H26" s="71"/>
      <c r="I26" s="8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row>
    <row r="27" spans="1:34" s="83" customFormat="1" x14ac:dyDescent="0.2">
      <c r="A27" s="81"/>
      <c r="B27" s="74"/>
      <c r="C27" s="74"/>
      <c r="D27" s="74"/>
      <c r="E27" s="74"/>
      <c r="F27" s="71"/>
      <c r="G27" s="74"/>
      <c r="H27" s="71"/>
      <c r="I27" s="8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row>
    <row r="28" spans="1:34" s="83" customFormat="1" x14ac:dyDescent="0.2">
      <c r="A28" s="81"/>
      <c r="B28" s="74"/>
      <c r="C28" s="74"/>
      <c r="D28" s="74"/>
      <c r="E28" s="74"/>
      <c r="F28" s="71"/>
      <c r="G28" s="74"/>
      <c r="H28" s="71"/>
      <c r="I28" s="8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row>
    <row r="29" spans="1:34" s="83" customFormat="1" x14ac:dyDescent="0.2">
      <c r="A29" s="81"/>
      <c r="B29" s="74"/>
      <c r="C29" s="74"/>
      <c r="D29" s="74"/>
      <c r="E29" s="74"/>
      <c r="F29" s="71"/>
      <c r="G29" s="74"/>
      <c r="H29" s="71"/>
      <c r="I29" s="8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row>
    <row r="30" spans="1:34" s="83" customFormat="1" x14ac:dyDescent="0.2">
      <c r="A30" s="81"/>
      <c r="B30" s="74"/>
      <c r="C30" s="74"/>
      <c r="D30" s="74"/>
      <c r="E30" s="74"/>
      <c r="F30" s="71"/>
      <c r="G30" s="74"/>
      <c r="H30" s="71"/>
      <c r="I30" s="8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row>
    <row r="31" spans="1:34" s="83" customFormat="1" x14ac:dyDescent="0.2">
      <c r="A31" s="81"/>
      <c r="B31" s="74"/>
      <c r="C31" s="74"/>
      <c r="D31" s="74"/>
      <c r="E31" s="74"/>
      <c r="F31" s="71"/>
      <c r="G31" s="74"/>
      <c r="H31" s="71"/>
      <c r="I31" s="8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row>
    <row r="32" spans="1:34" s="83" customFormat="1" x14ac:dyDescent="0.2">
      <c r="A32" s="81"/>
      <c r="B32" s="81"/>
      <c r="C32" s="81"/>
      <c r="D32" s="81"/>
      <c r="E32" s="81"/>
      <c r="F32" s="71"/>
      <c r="G32" s="81"/>
      <c r="H32" s="71"/>
      <c r="I32" s="8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row>
    <row r="33" spans="1:34" s="83" customFormat="1" x14ac:dyDescent="0.2">
      <c r="A33" s="81"/>
      <c r="B33" s="81"/>
      <c r="C33" s="81"/>
      <c r="D33" s="81"/>
      <c r="E33" s="81"/>
      <c r="F33" s="71"/>
      <c r="G33" s="81"/>
      <c r="H33" s="71"/>
      <c r="I33" s="8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row>
    <row r="34" spans="1:34" s="83" customFormat="1" x14ac:dyDescent="0.2">
      <c r="A34" s="81"/>
      <c r="B34" s="81"/>
      <c r="C34" s="81"/>
      <c r="D34" s="81"/>
      <c r="E34" s="81"/>
      <c r="F34" s="71"/>
      <c r="G34" s="81"/>
      <c r="H34" s="71"/>
      <c r="I34" s="8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row>
    <row r="35" spans="1:34" s="83" customFormat="1" x14ac:dyDescent="0.2">
      <c r="A35" s="81"/>
      <c r="B35" s="81"/>
      <c r="C35" s="81"/>
      <c r="D35" s="81"/>
      <c r="E35" s="81"/>
      <c r="F35" s="71"/>
      <c r="G35" s="81"/>
      <c r="H35" s="71"/>
      <c r="I35" s="8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row>
    <row r="36" spans="1:34" s="83" customFormat="1" x14ac:dyDescent="0.2">
      <c r="A36" s="78"/>
      <c r="B36" s="78"/>
      <c r="C36" s="78"/>
      <c r="D36" s="78"/>
      <c r="E36" s="78"/>
      <c r="F36" s="78"/>
      <c r="G36" s="78"/>
      <c r="H36" s="78"/>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row>
    <row r="37" spans="1:34" s="83" customFormat="1" x14ac:dyDescent="0.2">
      <c r="A37" s="78"/>
      <c r="B37" s="78"/>
      <c r="C37" s="78"/>
      <c r="D37" s="78"/>
      <c r="E37" s="78"/>
      <c r="F37" s="78"/>
      <c r="G37" s="78"/>
      <c r="H37" s="78"/>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row>
    <row r="38" spans="1:34" s="83" customFormat="1" x14ac:dyDescent="0.2">
      <c r="A38" s="78"/>
      <c r="B38" s="78"/>
      <c r="C38" s="78"/>
      <c r="D38" s="78"/>
      <c r="E38" s="78"/>
      <c r="F38" s="78"/>
      <c r="G38" s="78"/>
      <c r="H38" s="78"/>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row>
    <row r="39" spans="1:34" s="83" customFormat="1" x14ac:dyDescent="0.2">
      <c r="A39" s="78"/>
      <c r="B39" s="78"/>
      <c r="C39" s="78"/>
      <c r="D39" s="78"/>
      <c r="E39" s="78"/>
      <c r="F39" s="78"/>
      <c r="G39" s="78"/>
      <c r="H39" s="78"/>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row>
    <row r="40" spans="1:34" s="83" customFormat="1" x14ac:dyDescent="0.2">
      <c r="A40" s="78"/>
      <c r="B40" s="78"/>
      <c r="C40" s="78"/>
      <c r="D40" s="78"/>
      <c r="E40" s="78"/>
      <c r="F40" s="78"/>
      <c r="G40" s="78"/>
      <c r="H40" s="78"/>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row>
    <row r="41" spans="1:34" s="83" customFormat="1" x14ac:dyDescent="0.2">
      <c r="A41" s="78"/>
      <c r="B41" s="78"/>
      <c r="C41" s="78"/>
      <c r="D41" s="78"/>
      <c r="E41" s="78"/>
      <c r="F41" s="78"/>
      <c r="G41" s="78"/>
      <c r="H41" s="78"/>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row>
    <row r="42" spans="1:34" s="83" customFormat="1" x14ac:dyDescent="0.2">
      <c r="A42" s="78"/>
      <c r="B42" s="78"/>
      <c r="C42" s="78"/>
      <c r="D42" s="78"/>
      <c r="E42" s="78"/>
      <c r="F42" s="78"/>
      <c r="G42" s="78"/>
      <c r="H42" s="78"/>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row>
    <row r="43" spans="1:34" s="83" customFormat="1" x14ac:dyDescent="0.2">
      <c r="A43" s="78"/>
      <c r="B43" s="78"/>
      <c r="C43" s="78"/>
      <c r="D43" s="78"/>
      <c r="E43" s="78"/>
      <c r="F43" s="78"/>
      <c r="G43" s="78"/>
      <c r="H43" s="78"/>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row>
    <row r="44" spans="1:34" s="83" customFormat="1" x14ac:dyDescent="0.2">
      <c r="A44" s="78"/>
      <c r="B44" s="78"/>
      <c r="C44" s="78"/>
      <c r="D44" s="78"/>
      <c r="E44" s="78"/>
      <c r="F44" s="78"/>
      <c r="G44" s="78"/>
      <c r="H44" s="78"/>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row>
    <row r="45" spans="1:34" x14ac:dyDescent="0.2">
      <c r="A45" s="84"/>
      <c r="B45" s="84"/>
      <c r="C45" s="84"/>
      <c r="D45" s="84"/>
      <c r="E45" s="84"/>
      <c r="F45" s="84"/>
      <c r="G45" s="84"/>
      <c r="H45" s="84"/>
      <c r="I45" s="69"/>
    </row>
    <row r="46" spans="1:34" x14ac:dyDescent="0.2">
      <c r="A46" s="84"/>
      <c r="B46" s="84"/>
      <c r="C46" s="84"/>
      <c r="D46" s="84"/>
      <c r="E46" s="84"/>
      <c r="F46" s="84"/>
      <c r="G46" s="84"/>
      <c r="H46" s="84"/>
      <c r="I46" s="69"/>
    </row>
    <row r="47" spans="1:34" x14ac:dyDescent="0.2">
      <c r="A47" s="84"/>
      <c r="B47" s="84"/>
      <c r="C47" s="84"/>
      <c r="D47" s="84"/>
      <c r="E47" s="84"/>
      <c r="F47" s="84"/>
      <c r="G47" s="84"/>
      <c r="H47" s="84"/>
      <c r="I47" s="69"/>
    </row>
    <row r="48" spans="1:34" x14ac:dyDescent="0.2">
      <c r="A48" s="84"/>
      <c r="B48" s="84"/>
      <c r="C48" s="84"/>
      <c r="D48" s="84"/>
      <c r="E48" s="84"/>
      <c r="F48" s="84"/>
      <c r="G48" s="84"/>
      <c r="H48" s="84"/>
      <c r="I48" s="69"/>
    </row>
    <row r="49" spans="1:9" x14ac:dyDescent="0.2">
      <c r="A49" s="84"/>
      <c r="B49" s="84"/>
      <c r="C49" s="84"/>
      <c r="D49" s="84"/>
      <c r="E49" s="84"/>
      <c r="F49" s="84"/>
      <c r="G49" s="84"/>
      <c r="H49" s="84"/>
      <c r="I49" s="69"/>
    </row>
    <row r="50" spans="1:9" s="69" customFormat="1" x14ac:dyDescent="0.2">
      <c r="A50" s="84"/>
      <c r="B50" s="84"/>
      <c r="C50" s="84"/>
      <c r="D50" s="84"/>
      <c r="E50" s="84"/>
      <c r="F50" s="84"/>
      <c r="G50" s="84"/>
      <c r="H50" s="84"/>
    </row>
    <row r="51" spans="1:9" s="69" customFormat="1" x14ac:dyDescent="0.2">
      <c r="A51" s="84"/>
      <c r="B51" s="84"/>
      <c r="C51" s="84"/>
      <c r="D51" s="84"/>
      <c r="E51" s="84"/>
      <c r="F51" s="84"/>
      <c r="G51" s="84"/>
      <c r="H51" s="84"/>
    </row>
    <row r="52" spans="1:9" s="69" customFormat="1" x14ac:dyDescent="0.2">
      <c r="A52" s="84"/>
      <c r="B52" s="84"/>
      <c r="C52" s="84"/>
      <c r="D52" s="84"/>
      <c r="E52" s="84"/>
      <c r="F52" s="84"/>
      <c r="G52" s="84"/>
      <c r="H52" s="84"/>
    </row>
    <row r="53" spans="1:9" s="69" customFormat="1" x14ac:dyDescent="0.2">
      <c r="A53" s="84"/>
      <c r="B53" s="84"/>
      <c r="C53" s="84"/>
      <c r="D53" s="84"/>
      <c r="E53" s="84"/>
      <c r="F53" s="84"/>
      <c r="G53" s="84"/>
      <c r="H53" s="84"/>
    </row>
    <row r="54" spans="1:9" s="69" customFormat="1" x14ac:dyDescent="0.2">
      <c r="A54" s="84"/>
      <c r="B54" s="84"/>
      <c r="C54" s="84"/>
      <c r="D54" s="84"/>
      <c r="E54" s="84"/>
      <c r="F54" s="84"/>
      <c r="G54" s="84"/>
      <c r="H54" s="84"/>
    </row>
    <row r="55" spans="1:9" s="69" customFormat="1" x14ac:dyDescent="0.2">
      <c r="A55" s="84"/>
      <c r="B55" s="84"/>
      <c r="C55" s="84"/>
      <c r="D55" s="84"/>
      <c r="E55" s="84"/>
      <c r="F55" s="84"/>
      <c r="G55" s="84"/>
      <c r="H55" s="84"/>
    </row>
    <row r="56" spans="1:9" s="69" customFormat="1" x14ac:dyDescent="0.2">
      <c r="A56" s="84"/>
      <c r="B56" s="84"/>
      <c r="C56" s="84"/>
      <c r="D56" s="84"/>
      <c r="E56" s="84"/>
      <c r="F56" s="84"/>
      <c r="G56" s="84"/>
      <c r="H56" s="84"/>
    </row>
    <row r="57" spans="1:9" s="69" customFormat="1" x14ac:dyDescent="0.2">
      <c r="A57" s="84"/>
      <c r="B57" s="84"/>
      <c r="C57" s="84"/>
      <c r="D57" s="84"/>
      <c r="E57" s="84"/>
      <c r="F57" s="84"/>
      <c r="G57" s="84"/>
      <c r="H57" s="84"/>
    </row>
    <row r="58" spans="1:9" s="69" customFormat="1" x14ac:dyDescent="0.2">
      <c r="A58" s="84"/>
      <c r="B58" s="84"/>
      <c r="C58" s="84"/>
      <c r="D58" s="84"/>
      <c r="E58" s="84"/>
      <c r="F58" s="84"/>
      <c r="G58" s="84"/>
      <c r="H58" s="84"/>
    </row>
    <row r="59" spans="1:9" s="69" customFormat="1" x14ac:dyDescent="0.2">
      <c r="A59" s="84"/>
      <c r="B59" s="84"/>
      <c r="C59" s="84"/>
      <c r="D59" s="84"/>
      <c r="E59" s="84"/>
      <c r="F59" s="84"/>
      <c r="G59" s="84"/>
      <c r="H59" s="84"/>
    </row>
    <row r="60" spans="1:9" s="69" customFormat="1" x14ac:dyDescent="0.2">
      <c r="A60" s="84"/>
      <c r="B60" s="84"/>
      <c r="C60" s="84"/>
      <c r="D60" s="84"/>
      <c r="E60" s="84"/>
      <c r="F60" s="84"/>
      <c r="G60" s="84"/>
      <c r="H60" s="84"/>
    </row>
    <row r="61" spans="1:9" s="69" customFormat="1" x14ac:dyDescent="0.2">
      <c r="A61" s="84"/>
      <c r="B61" s="84"/>
      <c r="C61" s="84"/>
      <c r="D61" s="84"/>
      <c r="E61" s="84"/>
      <c r="F61" s="84"/>
      <c r="G61" s="84"/>
      <c r="H61" s="84"/>
    </row>
    <row r="62" spans="1:9" s="69" customFormat="1" x14ac:dyDescent="0.2">
      <c r="A62" s="84"/>
      <c r="B62" s="84"/>
      <c r="C62" s="84"/>
      <c r="D62" s="84"/>
      <c r="E62" s="84"/>
      <c r="F62" s="84"/>
      <c r="G62" s="84"/>
      <c r="H62" s="84"/>
    </row>
    <row r="63" spans="1:9" s="69" customFormat="1" x14ac:dyDescent="0.2">
      <c r="A63" s="84"/>
      <c r="B63" s="84"/>
      <c r="C63" s="84"/>
      <c r="D63" s="84"/>
      <c r="E63" s="84"/>
      <c r="F63" s="84"/>
      <c r="G63" s="84"/>
      <c r="H63" s="84"/>
    </row>
    <row r="64" spans="1:9" s="69" customFormat="1" x14ac:dyDescent="0.2">
      <c r="A64" s="84"/>
      <c r="B64" s="84"/>
      <c r="C64" s="84"/>
      <c r="D64" s="84"/>
      <c r="E64" s="84"/>
      <c r="F64" s="84"/>
      <c r="G64" s="84"/>
      <c r="H64" s="84"/>
    </row>
    <row r="65" spans="1:8" s="69" customFormat="1" x14ac:dyDescent="0.2">
      <c r="A65" s="84"/>
      <c r="B65" s="84"/>
      <c r="C65" s="84"/>
      <c r="D65" s="84"/>
      <c r="E65" s="84"/>
      <c r="F65" s="84"/>
      <c r="G65" s="84"/>
      <c r="H65" s="84"/>
    </row>
    <row r="66" spans="1:8" s="69" customFormat="1" x14ac:dyDescent="0.2">
      <c r="A66" s="84"/>
      <c r="B66" s="84"/>
      <c r="C66" s="84"/>
      <c r="D66" s="84"/>
      <c r="E66" s="84"/>
      <c r="F66" s="84"/>
      <c r="G66" s="84"/>
      <c r="H66" s="84"/>
    </row>
    <row r="67" spans="1:8" s="69" customFormat="1" x14ac:dyDescent="0.2">
      <c r="A67" s="84"/>
      <c r="B67" s="84"/>
      <c r="C67" s="84"/>
      <c r="D67" s="84"/>
      <c r="E67" s="84"/>
      <c r="F67" s="84"/>
      <c r="G67" s="84"/>
      <c r="H67" s="84"/>
    </row>
    <row r="68" spans="1:8" s="69" customFormat="1" x14ac:dyDescent="0.2">
      <c r="A68" s="84"/>
      <c r="B68" s="84"/>
      <c r="C68" s="84"/>
      <c r="D68" s="84"/>
      <c r="E68" s="84"/>
      <c r="F68" s="84"/>
      <c r="G68" s="84"/>
      <c r="H68" s="84"/>
    </row>
    <row r="69" spans="1:8" s="69" customFormat="1" x14ac:dyDescent="0.2">
      <c r="A69" s="84"/>
      <c r="B69" s="84"/>
      <c r="C69" s="84"/>
      <c r="D69" s="84"/>
      <c r="E69" s="84"/>
      <c r="F69" s="84"/>
      <c r="G69" s="84"/>
      <c r="H69" s="84"/>
    </row>
    <row r="70" spans="1:8" s="69" customFormat="1" x14ac:dyDescent="0.2">
      <c r="A70" s="84"/>
      <c r="B70" s="84"/>
      <c r="C70" s="84"/>
      <c r="D70" s="84"/>
      <c r="E70" s="84"/>
      <c r="F70" s="84"/>
      <c r="G70" s="84"/>
      <c r="H70" s="84"/>
    </row>
    <row r="71" spans="1:8" s="69" customFormat="1" x14ac:dyDescent="0.2">
      <c r="A71" s="84"/>
      <c r="B71" s="84"/>
      <c r="C71" s="84"/>
      <c r="D71" s="84"/>
      <c r="E71" s="84"/>
      <c r="F71" s="84"/>
      <c r="G71" s="84"/>
      <c r="H71" s="84"/>
    </row>
    <row r="72" spans="1:8" s="69" customFormat="1" x14ac:dyDescent="0.2">
      <c r="A72" s="84"/>
      <c r="B72" s="84"/>
      <c r="C72" s="84"/>
      <c r="D72" s="84"/>
      <c r="E72" s="84"/>
      <c r="F72" s="84"/>
      <c r="G72" s="84"/>
      <c r="H72" s="84"/>
    </row>
    <row r="73" spans="1:8" s="69" customFormat="1" x14ac:dyDescent="0.2">
      <c r="A73" s="84"/>
      <c r="B73" s="84"/>
      <c r="C73" s="84"/>
      <c r="D73" s="84"/>
      <c r="E73" s="84"/>
      <c r="F73" s="84"/>
      <c r="G73" s="84"/>
      <c r="H73" s="84"/>
    </row>
    <row r="74" spans="1:8" s="69" customFormat="1" x14ac:dyDescent="0.2">
      <c r="A74" s="84"/>
      <c r="B74" s="84"/>
      <c r="C74" s="84"/>
      <c r="D74" s="84"/>
      <c r="E74" s="84"/>
      <c r="F74" s="84"/>
      <c r="G74" s="84"/>
      <c r="H74" s="84"/>
    </row>
    <row r="75" spans="1:8" s="69" customFormat="1" x14ac:dyDescent="0.2">
      <c r="A75" s="84"/>
      <c r="B75" s="84"/>
      <c r="C75" s="84"/>
      <c r="D75" s="84"/>
      <c r="E75" s="84"/>
      <c r="F75" s="84"/>
      <c r="G75" s="84"/>
      <c r="H75" s="84"/>
    </row>
    <row r="76" spans="1:8" s="69" customFormat="1" x14ac:dyDescent="0.2">
      <c r="A76" s="84"/>
      <c r="B76" s="84"/>
      <c r="C76" s="84"/>
      <c r="D76" s="84"/>
      <c r="E76" s="84"/>
      <c r="F76" s="84"/>
      <c r="G76" s="84"/>
      <c r="H76" s="84"/>
    </row>
    <row r="77" spans="1:8" s="69" customFormat="1" x14ac:dyDescent="0.2">
      <c r="A77" s="84"/>
      <c r="B77" s="84"/>
      <c r="C77" s="84"/>
      <c r="D77" s="84"/>
      <c r="E77" s="84"/>
      <c r="F77" s="84"/>
      <c r="G77" s="84"/>
      <c r="H77" s="84"/>
    </row>
    <row r="78" spans="1:8" s="69" customFormat="1" x14ac:dyDescent="0.2">
      <c r="A78" s="84"/>
      <c r="B78" s="84"/>
      <c r="C78" s="84"/>
      <c r="D78" s="84"/>
      <c r="E78" s="84"/>
      <c r="F78" s="84"/>
      <c r="G78" s="84"/>
      <c r="H78" s="84"/>
    </row>
    <row r="79" spans="1:8" s="69" customFormat="1" x14ac:dyDescent="0.2">
      <c r="A79" s="84"/>
      <c r="B79" s="84"/>
      <c r="C79" s="84"/>
      <c r="D79" s="84"/>
      <c r="E79" s="84"/>
      <c r="F79" s="84"/>
      <c r="G79" s="84"/>
      <c r="H79" s="84"/>
    </row>
    <row r="80" spans="1:8" s="69" customFormat="1" x14ac:dyDescent="0.2">
      <c r="A80" s="84"/>
      <c r="B80" s="84"/>
      <c r="C80" s="84"/>
      <c r="D80" s="84"/>
      <c r="E80" s="84"/>
      <c r="F80" s="84"/>
      <c r="G80" s="84"/>
      <c r="H80" s="84"/>
    </row>
    <row r="81" spans="1:8" s="69" customFormat="1" x14ac:dyDescent="0.2">
      <c r="A81" s="84"/>
      <c r="B81" s="84"/>
      <c r="C81" s="84"/>
      <c r="D81" s="84"/>
      <c r="E81" s="84"/>
      <c r="F81" s="84"/>
      <c r="G81" s="84"/>
      <c r="H81" s="84"/>
    </row>
    <row r="82" spans="1:8" s="69" customFormat="1" x14ac:dyDescent="0.2">
      <c r="A82" s="84"/>
      <c r="B82" s="84"/>
      <c r="C82" s="84"/>
      <c r="D82" s="84"/>
      <c r="E82" s="84"/>
      <c r="F82" s="84"/>
      <c r="G82" s="84"/>
      <c r="H82" s="84"/>
    </row>
    <row r="83" spans="1:8" s="69" customFormat="1" x14ac:dyDescent="0.2">
      <c r="A83" s="84"/>
      <c r="B83" s="84"/>
      <c r="C83" s="84"/>
      <c r="D83" s="84"/>
      <c r="E83" s="84"/>
      <c r="F83" s="84"/>
      <c r="G83" s="84"/>
      <c r="H83" s="84"/>
    </row>
    <row r="84" spans="1:8" s="69" customFormat="1" x14ac:dyDescent="0.2">
      <c r="A84" s="84"/>
      <c r="B84" s="84"/>
      <c r="C84" s="84"/>
      <c r="D84" s="84"/>
      <c r="E84" s="84"/>
      <c r="F84" s="84"/>
      <c r="G84" s="84"/>
      <c r="H84" s="84"/>
    </row>
    <row r="85" spans="1:8" s="69" customFormat="1" x14ac:dyDescent="0.2">
      <c r="A85" s="84"/>
      <c r="B85" s="84"/>
      <c r="C85" s="84"/>
      <c r="D85" s="84"/>
      <c r="E85" s="84"/>
      <c r="F85" s="84"/>
      <c r="G85" s="84"/>
      <c r="H85" s="84"/>
    </row>
    <row r="86" spans="1:8" s="69" customFormat="1" x14ac:dyDescent="0.2">
      <c r="A86" s="84"/>
      <c r="B86" s="84"/>
      <c r="C86" s="84"/>
      <c r="D86" s="84"/>
      <c r="E86" s="84"/>
      <c r="F86" s="84"/>
      <c r="G86" s="84"/>
      <c r="H86" s="84"/>
    </row>
    <row r="87" spans="1:8" s="69" customFormat="1" x14ac:dyDescent="0.2">
      <c r="A87" s="84"/>
      <c r="B87" s="84"/>
      <c r="C87" s="84"/>
      <c r="D87" s="84"/>
      <c r="E87" s="84"/>
      <c r="F87" s="84"/>
      <c r="G87" s="84"/>
      <c r="H87" s="84"/>
    </row>
    <row r="88" spans="1:8" s="69" customFormat="1" x14ac:dyDescent="0.2">
      <c r="A88" s="84"/>
      <c r="B88" s="84"/>
      <c r="C88" s="84"/>
      <c r="D88" s="84"/>
      <c r="E88" s="84"/>
      <c r="F88" s="84"/>
      <c r="G88" s="84"/>
      <c r="H88" s="84"/>
    </row>
    <row r="89" spans="1:8" s="69" customFormat="1" x14ac:dyDescent="0.2">
      <c r="A89" s="84"/>
      <c r="B89" s="84"/>
      <c r="C89" s="84"/>
      <c r="D89" s="84"/>
      <c r="E89" s="84"/>
      <c r="F89" s="84"/>
      <c r="G89" s="84"/>
      <c r="H89" s="84"/>
    </row>
    <row r="90" spans="1:8" s="69" customFormat="1" x14ac:dyDescent="0.2">
      <c r="A90" s="84"/>
      <c r="B90" s="84"/>
      <c r="C90" s="84"/>
      <c r="D90" s="84"/>
      <c r="E90" s="84"/>
      <c r="F90" s="84"/>
      <c r="G90" s="84"/>
      <c r="H90" s="84"/>
    </row>
    <row r="91" spans="1:8" s="69" customFormat="1" x14ac:dyDescent="0.2">
      <c r="A91" s="84"/>
      <c r="B91" s="84"/>
      <c r="C91" s="84"/>
      <c r="D91" s="84"/>
      <c r="E91" s="84"/>
      <c r="F91" s="84"/>
      <c r="G91" s="84"/>
      <c r="H91" s="84"/>
    </row>
    <row r="92" spans="1:8" s="69" customFormat="1" x14ac:dyDescent="0.2">
      <c r="A92" s="84"/>
      <c r="B92" s="84"/>
      <c r="C92" s="84"/>
      <c r="D92" s="84"/>
      <c r="E92" s="84"/>
      <c r="F92" s="84"/>
      <c r="G92" s="84"/>
      <c r="H92" s="84"/>
    </row>
    <row r="93" spans="1:8" s="69" customFormat="1" x14ac:dyDescent="0.2">
      <c r="A93" s="84"/>
      <c r="B93" s="84"/>
      <c r="C93" s="84"/>
      <c r="D93" s="84"/>
      <c r="E93" s="84"/>
      <c r="F93" s="84"/>
      <c r="G93" s="84"/>
      <c r="H93" s="84"/>
    </row>
    <row r="94" spans="1:8" s="69" customFormat="1" x14ac:dyDescent="0.2">
      <c r="A94" s="84"/>
      <c r="B94" s="84"/>
      <c r="C94" s="84"/>
      <c r="D94" s="84"/>
      <c r="E94" s="84"/>
      <c r="F94" s="84"/>
      <c r="G94" s="84"/>
      <c r="H94" s="84"/>
    </row>
    <row r="95" spans="1:8" s="69" customFormat="1" x14ac:dyDescent="0.2">
      <c r="A95" s="84"/>
      <c r="B95" s="84"/>
      <c r="C95" s="84"/>
      <c r="D95" s="84"/>
      <c r="E95" s="84"/>
      <c r="F95" s="84"/>
      <c r="G95" s="84"/>
      <c r="H95" s="84"/>
    </row>
    <row r="96" spans="1:8" s="69" customFormat="1" x14ac:dyDescent="0.2">
      <c r="A96" s="84"/>
      <c r="B96" s="84"/>
      <c r="C96" s="84"/>
      <c r="D96" s="84"/>
      <c r="E96" s="84"/>
      <c r="F96" s="84"/>
      <c r="G96" s="84"/>
      <c r="H96" s="84"/>
    </row>
    <row r="97" spans="1:8" s="69" customFormat="1" x14ac:dyDescent="0.2">
      <c r="A97" s="84"/>
      <c r="B97" s="84"/>
      <c r="C97" s="84"/>
      <c r="D97" s="84"/>
      <c r="E97" s="84"/>
      <c r="F97" s="84"/>
      <c r="G97" s="84"/>
      <c r="H97" s="84"/>
    </row>
    <row r="98" spans="1:8" s="69" customFormat="1" x14ac:dyDescent="0.2">
      <c r="A98" s="84"/>
      <c r="B98" s="84"/>
      <c r="C98" s="84"/>
      <c r="D98" s="84"/>
      <c r="E98" s="84"/>
      <c r="F98" s="84"/>
      <c r="G98" s="84"/>
      <c r="H98" s="84"/>
    </row>
    <row r="99" spans="1:8" s="69" customFormat="1" x14ac:dyDescent="0.2">
      <c r="A99" s="84"/>
      <c r="B99" s="84"/>
      <c r="C99" s="84"/>
      <c r="D99" s="84"/>
      <c r="E99" s="84"/>
      <c r="F99" s="84"/>
      <c r="G99" s="84"/>
      <c r="H99" s="84"/>
    </row>
    <row r="100" spans="1:8" s="69" customFormat="1" x14ac:dyDescent="0.2">
      <c r="A100" s="84"/>
      <c r="B100" s="84"/>
      <c r="C100" s="84"/>
      <c r="D100" s="84"/>
      <c r="E100" s="84"/>
      <c r="F100" s="84"/>
      <c r="G100" s="84"/>
      <c r="H100" s="84"/>
    </row>
    <row r="101" spans="1:8" s="69" customFormat="1" x14ac:dyDescent="0.2">
      <c r="A101" s="84"/>
      <c r="B101" s="84"/>
      <c r="C101" s="84"/>
      <c r="D101" s="84"/>
      <c r="E101" s="84"/>
      <c r="F101" s="84"/>
      <c r="G101" s="84"/>
      <c r="H101" s="84"/>
    </row>
    <row r="102" spans="1:8" s="69" customFormat="1" x14ac:dyDescent="0.2">
      <c r="A102" s="84"/>
      <c r="B102" s="84"/>
      <c r="C102" s="84"/>
      <c r="D102" s="84"/>
      <c r="E102" s="84"/>
      <c r="F102" s="84"/>
      <c r="G102" s="84"/>
      <c r="H102" s="84"/>
    </row>
    <row r="103" spans="1:8" s="69" customFormat="1" x14ac:dyDescent="0.2">
      <c r="A103" s="84"/>
      <c r="B103" s="84"/>
      <c r="C103" s="84"/>
      <c r="D103" s="84"/>
      <c r="E103" s="84"/>
      <c r="F103" s="84"/>
      <c r="G103" s="84"/>
      <c r="H103" s="84"/>
    </row>
    <row r="104" spans="1:8" s="69" customFormat="1" x14ac:dyDescent="0.2">
      <c r="A104" s="84"/>
      <c r="B104" s="84"/>
      <c r="C104" s="84"/>
      <c r="D104" s="84"/>
      <c r="E104" s="84"/>
      <c r="F104" s="84"/>
      <c r="G104" s="84"/>
      <c r="H104" s="84"/>
    </row>
    <row r="105" spans="1:8" s="69" customFormat="1" x14ac:dyDescent="0.2">
      <c r="A105" s="84"/>
      <c r="B105" s="84"/>
      <c r="C105" s="84"/>
      <c r="D105" s="84"/>
      <c r="E105" s="84"/>
      <c r="F105" s="84"/>
      <c r="G105" s="84"/>
      <c r="H105" s="84"/>
    </row>
    <row r="106" spans="1:8" s="69" customFormat="1" x14ac:dyDescent="0.2">
      <c r="A106" s="84"/>
      <c r="B106" s="84"/>
      <c r="C106" s="84"/>
      <c r="D106" s="84"/>
      <c r="E106" s="84"/>
      <c r="F106" s="84"/>
      <c r="G106" s="84"/>
      <c r="H106" s="84"/>
    </row>
    <row r="107" spans="1:8" s="69" customFormat="1" x14ac:dyDescent="0.2">
      <c r="A107" s="84"/>
      <c r="B107" s="84"/>
      <c r="C107" s="84"/>
      <c r="D107" s="84"/>
      <c r="E107" s="84"/>
      <c r="F107" s="84"/>
      <c r="G107" s="84"/>
      <c r="H107" s="84"/>
    </row>
    <row r="108" spans="1:8" s="69" customFormat="1" x14ac:dyDescent="0.2">
      <c r="A108" s="84"/>
      <c r="B108" s="84"/>
      <c r="C108" s="84"/>
      <c r="D108" s="84"/>
      <c r="E108" s="84"/>
      <c r="F108" s="84"/>
      <c r="G108" s="84"/>
      <c r="H108" s="84"/>
    </row>
    <row r="109" spans="1:8" s="69" customFormat="1" x14ac:dyDescent="0.2">
      <c r="A109" s="84"/>
      <c r="B109" s="84"/>
      <c r="C109" s="84"/>
      <c r="D109" s="84"/>
      <c r="E109" s="84"/>
      <c r="F109" s="84"/>
      <c r="G109" s="84"/>
      <c r="H109" s="84"/>
    </row>
    <row r="110" spans="1:8" s="69" customFormat="1" x14ac:dyDescent="0.2">
      <c r="A110" s="84"/>
      <c r="B110" s="84"/>
      <c r="C110" s="84"/>
      <c r="D110" s="84"/>
      <c r="E110" s="84"/>
      <c r="F110" s="84"/>
      <c r="G110" s="84"/>
      <c r="H110" s="84"/>
    </row>
    <row r="111" spans="1:8" s="69" customFormat="1" x14ac:dyDescent="0.2">
      <c r="A111" s="84"/>
      <c r="B111" s="84"/>
      <c r="C111" s="84"/>
      <c r="D111" s="84"/>
      <c r="E111" s="84"/>
      <c r="F111" s="84"/>
      <c r="G111" s="84"/>
      <c r="H111" s="84"/>
    </row>
    <row r="112" spans="1:8" s="69" customFormat="1" x14ac:dyDescent="0.2">
      <c r="A112" s="84"/>
      <c r="B112" s="84"/>
      <c r="C112" s="84"/>
      <c r="D112" s="84"/>
      <c r="E112" s="84"/>
      <c r="F112" s="84"/>
      <c r="G112" s="84"/>
      <c r="H112" s="84"/>
    </row>
    <row r="113" spans="1:8" s="69" customFormat="1" x14ac:dyDescent="0.2">
      <c r="A113" s="84"/>
      <c r="B113" s="84"/>
      <c r="C113" s="84"/>
      <c r="D113" s="84"/>
      <c r="E113" s="84"/>
      <c r="F113" s="84"/>
      <c r="G113" s="84"/>
      <c r="H113" s="84"/>
    </row>
    <row r="114" spans="1:8" s="69" customFormat="1" x14ac:dyDescent="0.2">
      <c r="A114" s="84"/>
      <c r="B114" s="84"/>
      <c r="C114" s="84"/>
      <c r="D114" s="84"/>
      <c r="E114" s="84"/>
      <c r="F114" s="84"/>
      <c r="G114" s="84"/>
      <c r="H114" s="84"/>
    </row>
    <row r="115" spans="1:8" s="69" customFormat="1" x14ac:dyDescent="0.2">
      <c r="A115" s="84"/>
      <c r="B115" s="84"/>
      <c r="C115" s="84"/>
      <c r="D115" s="84"/>
      <c r="E115" s="84"/>
      <c r="F115" s="84"/>
      <c r="G115" s="84"/>
      <c r="H115" s="84"/>
    </row>
    <row r="116" spans="1:8" s="69" customFormat="1" x14ac:dyDescent="0.2">
      <c r="A116" s="84"/>
      <c r="B116" s="84"/>
      <c r="C116" s="84"/>
      <c r="D116" s="84"/>
      <c r="E116" s="84"/>
      <c r="F116" s="84"/>
      <c r="G116" s="84"/>
      <c r="H116" s="84"/>
    </row>
    <row r="117" spans="1:8" s="69" customFormat="1" x14ac:dyDescent="0.2">
      <c r="A117" s="84"/>
      <c r="B117" s="84"/>
      <c r="C117" s="84"/>
      <c r="D117" s="84"/>
      <c r="E117" s="84"/>
      <c r="F117" s="84"/>
      <c r="G117" s="84"/>
      <c r="H117" s="84"/>
    </row>
    <row r="118" spans="1:8" s="69" customFormat="1" x14ac:dyDescent="0.2">
      <c r="A118" s="84"/>
      <c r="B118" s="84"/>
      <c r="C118" s="84"/>
      <c r="D118" s="84"/>
      <c r="E118" s="84"/>
      <c r="F118" s="84"/>
      <c r="G118" s="84"/>
      <c r="H118" s="84"/>
    </row>
    <row r="119" spans="1:8" s="69" customFormat="1" x14ac:dyDescent="0.2">
      <c r="A119" s="84"/>
      <c r="B119" s="84"/>
      <c r="C119" s="84"/>
      <c r="D119" s="84"/>
      <c r="E119" s="84"/>
      <c r="F119" s="84"/>
      <c r="G119" s="84"/>
      <c r="H119" s="84"/>
    </row>
    <row r="120" spans="1:8" s="69" customFormat="1" x14ac:dyDescent="0.2">
      <c r="A120" s="84"/>
      <c r="B120" s="84"/>
      <c r="C120" s="84"/>
      <c r="D120" s="84"/>
      <c r="E120" s="84"/>
      <c r="F120" s="84"/>
      <c r="G120" s="84"/>
      <c r="H120" s="84"/>
    </row>
    <row r="121" spans="1:8" s="69" customFormat="1" x14ac:dyDescent="0.2">
      <c r="A121" s="84"/>
      <c r="B121" s="84"/>
      <c r="C121" s="84"/>
      <c r="D121" s="84"/>
      <c r="E121" s="84"/>
      <c r="F121" s="84"/>
      <c r="G121" s="84"/>
      <c r="H121" s="84"/>
    </row>
    <row r="122" spans="1:8" s="69" customFormat="1" x14ac:dyDescent="0.2">
      <c r="A122" s="84"/>
      <c r="B122" s="84"/>
      <c r="C122" s="84"/>
      <c r="D122" s="84"/>
      <c r="E122" s="84"/>
      <c r="F122" s="84"/>
      <c r="G122" s="84"/>
      <c r="H122" s="84"/>
    </row>
    <row r="123" spans="1:8" s="69" customFormat="1" x14ac:dyDescent="0.2">
      <c r="A123" s="84"/>
      <c r="B123" s="84"/>
      <c r="C123" s="84"/>
      <c r="D123" s="84"/>
      <c r="E123" s="84"/>
      <c r="F123" s="84"/>
      <c r="G123" s="84"/>
      <c r="H123" s="84"/>
    </row>
    <row r="124" spans="1:8" s="69" customFormat="1" x14ac:dyDescent="0.2">
      <c r="A124" s="84"/>
      <c r="B124" s="84"/>
      <c r="C124" s="84"/>
      <c r="D124" s="84"/>
      <c r="E124" s="84"/>
      <c r="F124" s="84"/>
      <c r="G124" s="84"/>
      <c r="H124" s="84"/>
    </row>
    <row r="125" spans="1:8" s="69" customFormat="1" x14ac:dyDescent="0.2">
      <c r="A125" s="84"/>
      <c r="B125" s="84"/>
      <c r="C125" s="84"/>
      <c r="D125" s="84"/>
      <c r="E125" s="84"/>
      <c r="F125" s="84"/>
      <c r="G125" s="84"/>
      <c r="H125" s="84"/>
    </row>
    <row r="126" spans="1:8" s="69" customFormat="1" x14ac:dyDescent="0.2">
      <c r="A126" s="84"/>
      <c r="B126" s="84"/>
      <c r="C126" s="84"/>
      <c r="D126" s="84"/>
      <c r="E126" s="84"/>
      <c r="F126" s="84"/>
      <c r="G126" s="84"/>
      <c r="H126" s="84"/>
    </row>
    <row r="127" spans="1:8" s="69" customFormat="1" x14ac:dyDescent="0.2">
      <c r="A127" s="84"/>
      <c r="B127" s="84"/>
      <c r="C127" s="84"/>
      <c r="D127" s="84"/>
      <c r="E127" s="84"/>
      <c r="F127" s="84"/>
      <c r="G127" s="84"/>
      <c r="H127" s="84"/>
    </row>
    <row r="128" spans="1:8" s="69" customFormat="1" x14ac:dyDescent="0.2">
      <c r="A128" s="84"/>
      <c r="B128" s="84"/>
      <c r="C128" s="84"/>
      <c r="D128" s="84"/>
      <c r="E128" s="84"/>
      <c r="F128" s="84"/>
      <c r="G128" s="84"/>
      <c r="H128" s="84"/>
    </row>
    <row r="129" spans="1:8" s="69" customFormat="1" x14ac:dyDescent="0.2">
      <c r="A129" s="84"/>
      <c r="B129" s="84"/>
      <c r="C129" s="84"/>
      <c r="D129" s="84"/>
      <c r="E129" s="84"/>
      <c r="F129" s="84"/>
      <c r="G129" s="84"/>
      <c r="H129" s="84"/>
    </row>
    <row r="130" spans="1:8" s="69" customFormat="1" x14ac:dyDescent="0.2">
      <c r="A130" s="84"/>
      <c r="B130" s="84"/>
      <c r="C130" s="84"/>
      <c r="D130" s="84"/>
      <c r="E130" s="84"/>
      <c r="F130" s="84"/>
      <c r="G130" s="84"/>
      <c r="H130" s="84"/>
    </row>
    <row r="131" spans="1:8" s="69" customFormat="1" x14ac:dyDescent="0.2">
      <c r="A131" s="84"/>
      <c r="B131" s="84"/>
      <c r="C131" s="84"/>
      <c r="D131" s="84"/>
      <c r="E131" s="84"/>
      <c r="F131" s="84"/>
      <c r="G131" s="84"/>
      <c r="H131" s="84"/>
    </row>
    <row r="132" spans="1:8" s="69" customFormat="1" x14ac:dyDescent="0.2">
      <c r="A132" s="84"/>
      <c r="B132" s="84"/>
      <c r="C132" s="84"/>
      <c r="D132" s="84"/>
      <c r="E132" s="84"/>
      <c r="F132" s="84"/>
      <c r="G132" s="84"/>
      <c r="H132" s="84"/>
    </row>
    <row r="133" spans="1:8" s="69" customFormat="1" x14ac:dyDescent="0.2">
      <c r="A133" s="84"/>
      <c r="B133" s="84"/>
      <c r="C133" s="84"/>
      <c r="D133" s="84"/>
      <c r="E133" s="84"/>
      <c r="F133" s="84"/>
      <c r="G133" s="84"/>
      <c r="H133" s="84"/>
    </row>
    <row r="134" spans="1:8" s="69" customFormat="1" x14ac:dyDescent="0.2">
      <c r="A134" s="84"/>
      <c r="B134" s="84"/>
      <c r="C134" s="84"/>
      <c r="D134" s="84"/>
      <c r="E134" s="84"/>
      <c r="F134" s="84"/>
      <c r="G134" s="84"/>
      <c r="H134" s="84"/>
    </row>
    <row r="135" spans="1:8" s="69" customFormat="1" x14ac:dyDescent="0.2">
      <c r="A135" s="84"/>
      <c r="B135" s="84"/>
      <c r="C135" s="84"/>
      <c r="D135" s="84"/>
      <c r="E135" s="84"/>
      <c r="F135" s="84"/>
      <c r="G135" s="84"/>
      <c r="H135" s="84"/>
    </row>
    <row r="136" spans="1:8" s="69" customFormat="1" x14ac:dyDescent="0.2">
      <c r="A136" s="84"/>
      <c r="B136" s="84"/>
      <c r="C136" s="84"/>
      <c r="D136" s="84"/>
      <c r="E136" s="84"/>
      <c r="F136" s="84"/>
      <c r="G136" s="84"/>
      <c r="H136" s="84"/>
    </row>
    <row r="137" spans="1:8" s="69" customFormat="1" x14ac:dyDescent="0.2">
      <c r="A137" s="84"/>
      <c r="B137" s="84"/>
      <c r="C137" s="84"/>
      <c r="D137" s="84"/>
      <c r="E137" s="84"/>
      <c r="F137" s="84"/>
      <c r="G137" s="84"/>
      <c r="H137" s="84"/>
    </row>
    <row r="138" spans="1:8" s="69" customFormat="1" x14ac:dyDescent="0.2">
      <c r="A138" s="84"/>
      <c r="B138" s="84"/>
      <c r="C138" s="84"/>
      <c r="D138" s="84"/>
      <c r="E138" s="84"/>
      <c r="F138" s="84"/>
      <c r="G138" s="84"/>
      <c r="H138" s="84"/>
    </row>
    <row r="139" spans="1:8" s="69" customFormat="1" x14ac:dyDescent="0.2">
      <c r="A139" s="84"/>
      <c r="B139" s="84"/>
      <c r="C139" s="84"/>
      <c r="D139" s="84"/>
      <c r="E139" s="84"/>
      <c r="F139" s="84"/>
      <c r="G139" s="84"/>
      <c r="H139" s="84"/>
    </row>
    <row r="140" spans="1:8" s="69" customFormat="1" x14ac:dyDescent="0.2">
      <c r="A140" s="84"/>
      <c r="B140" s="84"/>
      <c r="C140" s="84"/>
      <c r="D140" s="84"/>
      <c r="E140" s="84"/>
      <c r="F140" s="84"/>
      <c r="G140" s="84"/>
      <c r="H140" s="84"/>
    </row>
    <row r="141" spans="1:8" s="69" customFormat="1" x14ac:dyDescent="0.2">
      <c r="A141" s="84"/>
      <c r="B141" s="84"/>
      <c r="C141" s="84"/>
      <c r="D141" s="84"/>
      <c r="E141" s="84"/>
      <c r="F141" s="84"/>
      <c r="G141" s="84"/>
      <c r="H141" s="84"/>
    </row>
    <row r="142" spans="1:8" s="69" customFormat="1" x14ac:dyDescent="0.2">
      <c r="A142" s="84"/>
      <c r="B142" s="84"/>
      <c r="C142" s="84"/>
      <c r="D142" s="84"/>
      <c r="E142" s="84"/>
      <c r="F142" s="84"/>
      <c r="G142" s="84"/>
      <c r="H142" s="84"/>
    </row>
    <row r="143" spans="1:8" s="69" customFormat="1" x14ac:dyDescent="0.2">
      <c r="A143" s="84"/>
      <c r="B143" s="84"/>
      <c r="C143" s="84"/>
      <c r="D143" s="84"/>
      <c r="E143" s="84"/>
      <c r="F143" s="84"/>
      <c r="G143" s="84"/>
      <c r="H143" s="84"/>
    </row>
    <row r="144" spans="1:8" s="69" customFormat="1" x14ac:dyDescent="0.2">
      <c r="A144" s="84"/>
      <c r="B144" s="84"/>
      <c r="C144" s="84"/>
      <c r="D144" s="84"/>
      <c r="E144" s="84"/>
      <c r="F144" s="84"/>
      <c r="G144" s="84"/>
      <c r="H144" s="84"/>
    </row>
    <row r="145" spans="1:8" s="69" customFormat="1" x14ac:dyDescent="0.2">
      <c r="A145" s="84"/>
      <c r="B145" s="84"/>
      <c r="C145" s="84"/>
      <c r="D145" s="84"/>
      <c r="E145" s="84"/>
      <c r="F145" s="84"/>
      <c r="G145" s="84"/>
      <c r="H145" s="84"/>
    </row>
    <row r="146" spans="1:8" s="69" customFormat="1" x14ac:dyDescent="0.2">
      <c r="A146" s="84"/>
      <c r="B146" s="84"/>
      <c r="C146" s="84"/>
      <c r="D146" s="84"/>
      <c r="E146" s="84"/>
      <c r="F146" s="84"/>
      <c r="G146" s="84"/>
      <c r="H146" s="84"/>
    </row>
    <row r="147" spans="1:8" s="69" customFormat="1" x14ac:dyDescent="0.2">
      <c r="A147" s="84"/>
      <c r="B147" s="84"/>
      <c r="C147" s="84"/>
      <c r="D147" s="84"/>
      <c r="E147" s="84"/>
      <c r="F147" s="84"/>
      <c r="G147" s="84"/>
      <c r="H147" s="84"/>
    </row>
    <row r="148" spans="1:8" s="69" customFormat="1" x14ac:dyDescent="0.2">
      <c r="A148" s="84"/>
      <c r="B148" s="84"/>
      <c r="C148" s="84"/>
      <c r="D148" s="84"/>
      <c r="E148" s="84"/>
      <c r="F148" s="84"/>
      <c r="G148" s="84"/>
      <c r="H148" s="84"/>
    </row>
    <row r="149" spans="1:8" s="69" customFormat="1" x14ac:dyDescent="0.2">
      <c r="A149" s="84"/>
      <c r="B149" s="84"/>
      <c r="C149" s="84"/>
      <c r="D149" s="84"/>
      <c r="E149" s="84"/>
      <c r="F149" s="84"/>
      <c r="G149" s="84"/>
      <c r="H149" s="84"/>
    </row>
    <row r="150" spans="1:8" s="69" customFormat="1" x14ac:dyDescent="0.2">
      <c r="A150" s="84"/>
      <c r="B150" s="84"/>
      <c r="C150" s="84"/>
      <c r="D150" s="84"/>
      <c r="E150" s="84"/>
      <c r="F150" s="84"/>
      <c r="G150" s="84"/>
      <c r="H150" s="84"/>
    </row>
    <row r="151" spans="1:8" s="69" customFormat="1" x14ac:dyDescent="0.2">
      <c r="A151" s="84"/>
      <c r="B151" s="84"/>
      <c r="C151" s="84"/>
      <c r="D151" s="84"/>
      <c r="E151" s="84"/>
      <c r="F151" s="84"/>
      <c r="G151" s="84"/>
      <c r="H151" s="84"/>
    </row>
    <row r="152" spans="1:8" s="69" customFormat="1" x14ac:dyDescent="0.2">
      <c r="A152" s="84"/>
      <c r="B152" s="84"/>
      <c r="C152" s="84"/>
      <c r="D152" s="84"/>
      <c r="E152" s="84"/>
      <c r="F152" s="84"/>
      <c r="G152" s="84"/>
      <c r="H152" s="84"/>
    </row>
    <row r="153" spans="1:8" s="69" customFormat="1" x14ac:dyDescent="0.2">
      <c r="A153" s="84"/>
      <c r="B153" s="84"/>
      <c r="C153" s="84"/>
      <c r="D153" s="84"/>
      <c r="E153" s="84"/>
      <c r="F153" s="84"/>
      <c r="G153" s="84"/>
      <c r="H153" s="84"/>
    </row>
    <row r="154" spans="1:8" s="69" customFormat="1" x14ac:dyDescent="0.2">
      <c r="A154" s="84"/>
      <c r="B154" s="84"/>
      <c r="C154" s="84"/>
      <c r="D154" s="84"/>
      <c r="E154" s="84"/>
      <c r="F154" s="84"/>
      <c r="G154" s="84"/>
      <c r="H154" s="84"/>
    </row>
    <row r="155" spans="1:8" s="69" customFormat="1" x14ac:dyDescent="0.2">
      <c r="A155" s="84"/>
      <c r="B155" s="84"/>
      <c r="C155" s="84"/>
      <c r="D155" s="84"/>
      <c r="E155" s="84"/>
      <c r="F155" s="84"/>
      <c r="G155" s="84"/>
      <c r="H155" s="84"/>
    </row>
    <row r="156" spans="1:8" s="69" customFormat="1" x14ac:dyDescent="0.2">
      <c r="A156" s="84"/>
      <c r="B156" s="84"/>
      <c r="C156" s="84"/>
      <c r="D156" s="84"/>
      <c r="E156" s="84"/>
      <c r="F156" s="84"/>
      <c r="G156" s="84"/>
      <c r="H156" s="84"/>
    </row>
    <row r="157" spans="1:8" s="69" customFormat="1" x14ac:dyDescent="0.2">
      <c r="A157" s="84"/>
      <c r="B157" s="84"/>
      <c r="C157" s="84"/>
      <c r="D157" s="84"/>
      <c r="E157" s="84"/>
      <c r="F157" s="84"/>
      <c r="G157" s="84"/>
      <c r="H157" s="84"/>
    </row>
    <row r="158" spans="1:8" s="69" customFormat="1" x14ac:dyDescent="0.2">
      <c r="A158" s="84"/>
      <c r="B158" s="84"/>
      <c r="C158" s="84"/>
      <c r="D158" s="84"/>
      <c r="E158" s="84"/>
      <c r="F158" s="84"/>
      <c r="G158" s="84"/>
      <c r="H158" s="84"/>
    </row>
    <row r="159" spans="1:8" s="69" customFormat="1" x14ac:dyDescent="0.2">
      <c r="A159" s="84"/>
      <c r="B159" s="84"/>
      <c r="C159" s="84"/>
      <c r="D159" s="84"/>
      <c r="E159" s="84"/>
      <c r="F159" s="84"/>
      <c r="G159" s="84"/>
      <c r="H159" s="84"/>
    </row>
    <row r="160" spans="1:8" s="69" customFormat="1" x14ac:dyDescent="0.2">
      <c r="A160" s="84"/>
      <c r="B160" s="84"/>
      <c r="C160" s="84"/>
      <c r="D160" s="84"/>
      <c r="E160" s="84"/>
      <c r="F160" s="84"/>
      <c r="G160" s="84"/>
      <c r="H160" s="84"/>
    </row>
    <row r="161" spans="1:8" s="69" customFormat="1" x14ac:dyDescent="0.2">
      <c r="A161" s="84"/>
      <c r="B161" s="84"/>
      <c r="C161" s="84"/>
      <c r="D161" s="84"/>
      <c r="E161" s="84"/>
      <c r="F161" s="84"/>
      <c r="G161" s="84"/>
      <c r="H161" s="84"/>
    </row>
    <row r="162" spans="1:8" s="69" customFormat="1" x14ac:dyDescent="0.2">
      <c r="A162" s="84"/>
      <c r="B162" s="84"/>
      <c r="C162" s="84"/>
      <c r="D162" s="84"/>
      <c r="E162" s="84"/>
      <c r="F162" s="84"/>
      <c r="G162" s="84"/>
      <c r="H162" s="84"/>
    </row>
    <row r="163" spans="1:8" s="69" customFormat="1" x14ac:dyDescent="0.2">
      <c r="A163" s="84"/>
      <c r="B163" s="84"/>
      <c r="C163" s="84"/>
      <c r="D163" s="84"/>
      <c r="E163" s="84"/>
      <c r="F163" s="84"/>
      <c r="G163" s="84"/>
      <c r="H163" s="84"/>
    </row>
    <row r="164" spans="1:8" s="69" customFormat="1" x14ac:dyDescent="0.2">
      <c r="A164" s="84"/>
      <c r="B164" s="84"/>
      <c r="C164" s="84"/>
      <c r="D164" s="84"/>
      <c r="E164" s="84"/>
      <c r="F164" s="84"/>
      <c r="G164" s="84"/>
      <c r="H164" s="84"/>
    </row>
    <row r="165" spans="1:8" s="69" customFormat="1" x14ac:dyDescent="0.2">
      <c r="A165" s="84"/>
      <c r="B165" s="84"/>
      <c r="C165" s="84"/>
      <c r="D165" s="84"/>
      <c r="E165" s="84"/>
      <c r="F165" s="84"/>
      <c r="G165" s="84"/>
      <c r="H165" s="84"/>
    </row>
    <row r="166" spans="1:8" s="69" customFormat="1" x14ac:dyDescent="0.2">
      <c r="A166" s="84"/>
      <c r="B166" s="84"/>
      <c r="C166" s="84"/>
      <c r="D166" s="84"/>
      <c r="E166" s="84"/>
      <c r="F166" s="84"/>
      <c r="G166" s="84"/>
      <c r="H166" s="84"/>
    </row>
    <row r="167" spans="1:8" s="69" customFormat="1" x14ac:dyDescent="0.2">
      <c r="A167" s="84"/>
      <c r="B167" s="84"/>
      <c r="C167" s="84"/>
      <c r="D167" s="84"/>
      <c r="E167" s="84"/>
      <c r="F167" s="84"/>
      <c r="G167" s="84"/>
      <c r="H167" s="84"/>
    </row>
    <row r="168" spans="1:8" s="69" customFormat="1" x14ac:dyDescent="0.2">
      <c r="A168" s="84"/>
      <c r="B168" s="84"/>
      <c r="C168" s="84"/>
      <c r="D168" s="84"/>
      <c r="E168" s="84"/>
      <c r="F168" s="84"/>
      <c r="G168" s="84"/>
      <c r="H168" s="84"/>
    </row>
    <row r="169" spans="1:8" s="69" customFormat="1" x14ac:dyDescent="0.2">
      <c r="A169" s="84"/>
      <c r="B169" s="84"/>
      <c r="C169" s="84"/>
      <c r="D169" s="84"/>
      <c r="E169" s="84"/>
      <c r="F169" s="84"/>
      <c r="G169" s="84"/>
      <c r="H169" s="84"/>
    </row>
    <row r="170" spans="1:8" s="69" customFormat="1" x14ac:dyDescent="0.2">
      <c r="A170" s="84"/>
      <c r="B170" s="84"/>
      <c r="C170" s="84"/>
      <c r="D170" s="84"/>
      <c r="E170" s="84"/>
      <c r="F170" s="84"/>
      <c r="G170" s="84"/>
      <c r="H170" s="84"/>
    </row>
    <row r="171" spans="1:8" s="69" customFormat="1" x14ac:dyDescent="0.2">
      <c r="A171" s="84"/>
      <c r="B171" s="84"/>
      <c r="C171" s="84"/>
      <c r="D171" s="84"/>
      <c r="E171" s="84"/>
      <c r="F171" s="84"/>
      <c r="G171" s="84"/>
      <c r="H171" s="84"/>
    </row>
    <row r="172" spans="1:8" s="69" customFormat="1" x14ac:dyDescent="0.2">
      <c r="A172" s="84"/>
      <c r="B172" s="84"/>
      <c r="C172" s="84"/>
      <c r="D172" s="84"/>
      <c r="E172" s="84"/>
      <c r="F172" s="84"/>
      <c r="G172" s="84"/>
      <c r="H172" s="84"/>
    </row>
    <row r="173" spans="1:8" s="69" customFormat="1" x14ac:dyDescent="0.2">
      <c r="A173" s="84"/>
      <c r="B173" s="84"/>
      <c r="C173" s="84"/>
      <c r="D173" s="84"/>
      <c r="E173" s="84"/>
      <c r="F173" s="84"/>
      <c r="G173" s="84"/>
      <c r="H173" s="84"/>
    </row>
    <row r="174" spans="1:8" s="69" customFormat="1" x14ac:dyDescent="0.2">
      <c r="A174" s="84"/>
      <c r="B174" s="84"/>
      <c r="C174" s="84"/>
      <c r="D174" s="84"/>
      <c r="E174" s="84"/>
      <c r="F174" s="84"/>
      <c r="G174" s="84"/>
      <c r="H174" s="84"/>
    </row>
    <row r="175" spans="1:8" s="69" customFormat="1" x14ac:dyDescent="0.2">
      <c r="A175" s="84"/>
      <c r="B175" s="84"/>
      <c r="C175" s="84"/>
      <c r="D175" s="84"/>
      <c r="E175" s="84"/>
      <c r="F175" s="84"/>
      <c r="G175" s="84"/>
      <c r="H175" s="84"/>
    </row>
    <row r="176" spans="1:8" s="69" customFormat="1" x14ac:dyDescent="0.2">
      <c r="A176" s="84"/>
      <c r="B176" s="84"/>
      <c r="C176" s="84"/>
      <c r="D176" s="84"/>
      <c r="E176" s="84"/>
      <c r="F176" s="84"/>
      <c r="G176" s="84"/>
      <c r="H176" s="84"/>
    </row>
    <row r="177" spans="1:8" s="69" customFormat="1" x14ac:dyDescent="0.2">
      <c r="A177" s="84"/>
      <c r="B177" s="84"/>
      <c r="C177" s="84"/>
      <c r="D177" s="84"/>
      <c r="E177" s="84"/>
      <c r="F177" s="84"/>
      <c r="G177" s="84"/>
      <c r="H177" s="84"/>
    </row>
    <row r="178" spans="1:8" s="69" customFormat="1" x14ac:dyDescent="0.2">
      <c r="A178" s="84"/>
      <c r="B178" s="84"/>
      <c r="C178" s="84"/>
      <c r="D178" s="84"/>
      <c r="E178" s="84"/>
      <c r="F178" s="84"/>
      <c r="G178" s="84"/>
      <c r="H178" s="84"/>
    </row>
    <row r="179" spans="1:8" s="69" customFormat="1" x14ac:dyDescent="0.2">
      <c r="A179" s="84"/>
      <c r="B179" s="84"/>
      <c r="C179" s="84"/>
      <c r="D179" s="84"/>
      <c r="E179" s="84"/>
      <c r="F179" s="84"/>
      <c r="G179" s="84"/>
      <c r="H179" s="84"/>
    </row>
    <row r="180" spans="1:8" s="69" customFormat="1" x14ac:dyDescent="0.2">
      <c r="A180" s="84"/>
      <c r="B180" s="84"/>
      <c r="C180" s="84"/>
      <c r="D180" s="84"/>
      <c r="E180" s="84"/>
      <c r="F180" s="84"/>
      <c r="G180" s="84"/>
      <c r="H180" s="84"/>
    </row>
    <row r="181" spans="1:8" s="69" customFormat="1" x14ac:dyDescent="0.2">
      <c r="A181" s="84"/>
      <c r="B181" s="84"/>
      <c r="C181" s="84"/>
      <c r="D181" s="84"/>
      <c r="E181" s="84"/>
      <c r="F181" s="84"/>
      <c r="G181" s="84"/>
      <c r="H181" s="84"/>
    </row>
    <row r="182" spans="1:8" s="69" customFormat="1" x14ac:dyDescent="0.2">
      <c r="A182" s="84"/>
      <c r="B182" s="84"/>
      <c r="C182" s="84"/>
      <c r="D182" s="84"/>
      <c r="E182" s="84"/>
      <c r="F182" s="84"/>
      <c r="G182" s="84"/>
      <c r="H182" s="84"/>
    </row>
    <row r="183" spans="1:8" s="69" customFormat="1" x14ac:dyDescent="0.2">
      <c r="A183" s="84"/>
      <c r="B183" s="84"/>
      <c r="C183" s="84"/>
      <c r="D183" s="84"/>
      <c r="E183" s="84"/>
      <c r="F183" s="84"/>
      <c r="G183" s="84"/>
      <c r="H183" s="84"/>
    </row>
    <row r="184" spans="1:8" s="69" customFormat="1" x14ac:dyDescent="0.2">
      <c r="A184" s="84"/>
      <c r="B184" s="84"/>
      <c r="C184" s="84"/>
      <c r="D184" s="84"/>
      <c r="E184" s="84"/>
      <c r="F184" s="84"/>
      <c r="G184" s="84"/>
      <c r="H184" s="84"/>
    </row>
    <row r="185" spans="1:8" s="69" customFormat="1" x14ac:dyDescent="0.2">
      <c r="A185" s="84"/>
      <c r="B185" s="84"/>
      <c r="C185" s="84"/>
      <c r="D185" s="84"/>
      <c r="E185" s="84"/>
      <c r="F185" s="84"/>
      <c r="G185" s="84"/>
      <c r="H185" s="84"/>
    </row>
    <row r="186" spans="1:8" s="69" customFormat="1" x14ac:dyDescent="0.2">
      <c r="A186" s="84"/>
      <c r="B186" s="84"/>
      <c r="C186" s="84"/>
      <c r="D186" s="84"/>
      <c r="E186" s="84"/>
      <c r="F186" s="84"/>
      <c r="G186" s="84"/>
      <c r="H186" s="84"/>
    </row>
    <row r="187" spans="1:8" s="69" customFormat="1" x14ac:dyDescent="0.2">
      <c r="A187" s="84"/>
      <c r="B187" s="84"/>
      <c r="C187" s="84"/>
      <c r="D187" s="84"/>
      <c r="E187" s="84"/>
      <c r="F187" s="84"/>
      <c r="G187" s="84"/>
      <c r="H187" s="84"/>
    </row>
    <row r="188" spans="1:8" s="69" customFormat="1" x14ac:dyDescent="0.2">
      <c r="A188" s="84"/>
      <c r="B188" s="84"/>
      <c r="C188" s="84"/>
      <c r="D188" s="84"/>
      <c r="E188" s="84"/>
      <c r="F188" s="84"/>
      <c r="G188" s="84"/>
      <c r="H188" s="84"/>
    </row>
    <row r="189" spans="1:8" s="69" customFormat="1" x14ac:dyDescent="0.2">
      <c r="A189" s="84"/>
      <c r="B189" s="84"/>
      <c r="C189" s="84"/>
      <c r="D189" s="84"/>
      <c r="E189" s="84"/>
      <c r="F189" s="84"/>
      <c r="G189" s="84"/>
      <c r="H189" s="84"/>
    </row>
    <row r="190" spans="1:8" s="69" customFormat="1" x14ac:dyDescent="0.2">
      <c r="A190" s="84"/>
      <c r="B190" s="84"/>
      <c r="C190" s="84"/>
      <c r="D190" s="84"/>
      <c r="E190" s="84"/>
      <c r="F190" s="84"/>
      <c r="G190" s="84"/>
      <c r="H190" s="84"/>
    </row>
    <row r="191" spans="1:8" s="69" customFormat="1" x14ac:dyDescent="0.2">
      <c r="A191" s="84"/>
      <c r="B191" s="84"/>
      <c r="C191" s="84"/>
      <c r="D191" s="84"/>
      <c r="E191" s="84"/>
      <c r="F191" s="84"/>
      <c r="G191" s="84"/>
      <c r="H191" s="84"/>
    </row>
    <row r="192" spans="1:8" s="69" customFormat="1" x14ac:dyDescent="0.2">
      <c r="A192" s="84"/>
      <c r="B192" s="84"/>
      <c r="C192" s="84"/>
      <c r="D192" s="84"/>
      <c r="E192" s="84"/>
      <c r="F192" s="84"/>
      <c r="G192" s="84"/>
      <c r="H192" s="84"/>
    </row>
    <row r="193" spans="1:8" s="69" customFormat="1" x14ac:dyDescent="0.2">
      <c r="A193" s="84"/>
      <c r="B193" s="84"/>
      <c r="C193" s="84"/>
      <c r="D193" s="84"/>
      <c r="E193" s="84"/>
      <c r="F193" s="84"/>
      <c r="G193" s="84"/>
      <c r="H193" s="84"/>
    </row>
    <row r="194" spans="1:8" s="69" customFormat="1" x14ac:dyDescent="0.2">
      <c r="A194" s="84"/>
      <c r="B194" s="84"/>
      <c r="C194" s="84"/>
      <c r="D194" s="84"/>
      <c r="E194" s="84"/>
      <c r="F194" s="84"/>
      <c r="G194" s="84"/>
      <c r="H194" s="84"/>
    </row>
    <row r="195" spans="1:8" s="69" customFormat="1" x14ac:dyDescent="0.2">
      <c r="A195" s="84"/>
      <c r="B195" s="84"/>
      <c r="C195" s="84"/>
      <c r="D195" s="84"/>
      <c r="E195" s="84"/>
      <c r="F195" s="84"/>
      <c r="G195" s="84"/>
      <c r="H195" s="84"/>
    </row>
    <row r="196" spans="1:8" s="69" customFormat="1" x14ac:dyDescent="0.2">
      <c r="A196" s="84"/>
      <c r="B196" s="84"/>
      <c r="C196" s="84"/>
      <c r="D196" s="84"/>
      <c r="E196" s="84"/>
      <c r="F196" s="84"/>
      <c r="G196" s="84"/>
      <c r="H196" s="84"/>
    </row>
    <row r="197" spans="1:8" s="69" customFormat="1" x14ac:dyDescent="0.2">
      <c r="A197" s="84"/>
      <c r="B197" s="84"/>
      <c r="C197" s="84"/>
      <c r="D197" s="84"/>
      <c r="E197" s="84"/>
      <c r="F197" s="84"/>
      <c r="G197" s="84"/>
      <c r="H197" s="84"/>
    </row>
  </sheetData>
  <mergeCells count="1">
    <mergeCell ref="B1:H1"/>
  </mergeCells>
  <dataValidations count="6">
    <dataValidation type="list" allowBlank="1" showInputMessage="1" showErrorMessage="1" sqref="G3:G31">
      <formula1>"Low, Medium, High"</formula1>
    </dataValidation>
    <dataValidation type="list" allowBlank="1" showInputMessage="1" showErrorMessage="1" sqref="H3 H5:H35">
      <formula1>"New Requirement, Enhancement, Bug, Issue"</formula1>
    </dataValidation>
    <dataValidation type="list" allowBlank="1" showInputMessage="1" showErrorMessage="1" sqref="C32:D65536 C1:D1">
      <formula1>"High,Medium,Low"</formula1>
    </dataValidation>
    <dataValidation type="list" allowBlank="1" showInputMessage="1" showErrorMessage="1" sqref="F1:G1 F36:F65536 G32:G65536">
      <formula1>"Functional, External Interface, User Interface,System Interface, Non functional"</formula1>
    </dataValidation>
    <dataValidation type="list" allowBlank="1" showInputMessage="1" showErrorMessage="1" sqref="E1 E32:E65536">
      <formula1>"Simple,Average,Complex"</formula1>
    </dataValidation>
    <dataValidation type="list" allowBlank="1" showInputMessage="1" showErrorMessage="1" sqref="F3:F35">
      <formula1>"Trivial, Simple, Average, Complex"</formula1>
    </dataValidation>
  </dataValidations>
  <pageMargins left="0.25" right="0.25" top="0.25" bottom="0.25" header="0.5" footer="0.5"/>
  <pageSetup paperSize="5" scale="75" orientation="landscape" r:id="rId1"/>
  <headerFooter alignWithMargins="0">
    <oddFooter>Page &amp;P of &amp;N</oddFooter>
  </headerFooter>
  <drawing r:id="rId2"/>
  <legacyDrawing r:id="rId3"/>
  <oleObjects>
    <mc:AlternateContent xmlns:mc="http://schemas.openxmlformats.org/markup-compatibility/2006">
      <mc:Choice Requires="x14">
        <oleObject progId="Word.Document.8" shapeId="21505" r:id="rId4">
          <objectPr defaultSize="0" autoPict="0" r:id="rId5">
            <anchor moveWithCells="1" sizeWithCells="1">
              <from>
                <xdr:col>0</xdr:col>
                <xdr:colOff>0</xdr:colOff>
                <xdr:row>0</xdr:row>
                <xdr:rowOff>142875</xdr:rowOff>
              </from>
              <to>
                <xdr:col>0</xdr:col>
                <xdr:colOff>781050</xdr:colOff>
                <xdr:row>0</xdr:row>
                <xdr:rowOff>590550</xdr:rowOff>
              </to>
            </anchor>
          </objectPr>
        </oleObject>
      </mc:Choice>
      <mc:Fallback>
        <oleObject progId="Word.Document.8" shapeId="21505"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AP180"/>
  <sheetViews>
    <sheetView topLeftCell="A19" workbookViewId="0">
      <selection activeCell="J9" sqref="J9"/>
    </sheetView>
  </sheetViews>
  <sheetFormatPr defaultColWidth="8.7109375" defaultRowHeight="12.75" x14ac:dyDescent="0.2"/>
  <cols>
    <col min="1" max="1" width="12.28515625" style="86" customWidth="1"/>
    <col min="2" max="2" width="11.7109375" style="86" customWidth="1"/>
    <col min="3" max="3" width="12.28515625" style="86" bestFit="1" customWidth="1"/>
    <col min="4" max="6" width="12.28515625" style="86" customWidth="1"/>
    <col min="7" max="7" width="12" style="86" customWidth="1"/>
    <col min="8" max="8" width="13.140625" style="86" customWidth="1"/>
    <col min="9" max="9" width="19.85546875" style="86" customWidth="1"/>
    <col min="10" max="10" width="33.140625" style="86" customWidth="1"/>
    <col min="11" max="13" width="12.28515625" style="86" customWidth="1"/>
    <col min="14" max="14" width="12.28515625" style="99" customWidth="1"/>
    <col min="15" max="15" width="11.7109375" style="99" customWidth="1"/>
    <col min="16" max="16" width="13.140625" style="86" customWidth="1"/>
    <col min="17" max="17" width="13" style="69" customWidth="1"/>
    <col min="18" max="18" width="15.42578125" style="69" customWidth="1"/>
    <col min="19" max="41" width="8.7109375" style="69" customWidth="1"/>
    <col min="42" max="16384" width="8.7109375" style="85"/>
  </cols>
  <sheetData>
    <row r="1" spans="1:41" s="55" customFormat="1" ht="57" customHeight="1" thickBot="1" x14ac:dyDescent="0.25">
      <c r="B1" s="166" t="s">
        <v>124</v>
      </c>
      <c r="C1" s="166"/>
      <c r="D1" s="166"/>
      <c r="E1" s="166"/>
      <c r="F1" s="166"/>
      <c r="G1" s="166"/>
      <c r="H1" s="166"/>
      <c r="I1" s="166"/>
      <c r="N1" s="56"/>
      <c r="O1" s="56"/>
    </row>
    <row r="2" spans="1:41" s="109" customFormat="1" ht="64.5" thickTop="1" x14ac:dyDescent="0.2">
      <c r="A2" s="110" t="s">
        <v>45</v>
      </c>
      <c r="B2" s="110" t="s">
        <v>47</v>
      </c>
      <c r="C2" s="110" t="s">
        <v>49</v>
      </c>
      <c r="D2" s="110" t="s">
        <v>51</v>
      </c>
      <c r="E2" s="110" t="s">
        <v>53</v>
      </c>
      <c r="F2" s="110" t="s">
        <v>103</v>
      </c>
      <c r="G2" s="110" t="s">
        <v>55</v>
      </c>
      <c r="H2" s="110" t="s">
        <v>57</v>
      </c>
      <c r="I2" s="110" t="s">
        <v>59</v>
      </c>
      <c r="J2" s="110" t="s">
        <v>61</v>
      </c>
      <c r="K2" s="110" t="s">
        <v>63</v>
      </c>
      <c r="L2" s="110" t="s">
        <v>65</v>
      </c>
      <c r="M2" s="110" t="s">
        <v>67</v>
      </c>
      <c r="N2" s="110" t="s">
        <v>69</v>
      </c>
      <c r="O2" s="110" t="s">
        <v>71</v>
      </c>
      <c r="P2" s="173" t="s">
        <v>73</v>
      </c>
      <c r="Q2" s="173"/>
      <c r="R2" s="173"/>
      <c r="S2" s="111"/>
      <c r="T2" s="111"/>
      <c r="U2" s="111"/>
      <c r="V2" s="111"/>
      <c r="W2" s="111"/>
      <c r="X2" s="111"/>
      <c r="Y2" s="111"/>
      <c r="Z2" s="111"/>
      <c r="AA2" s="111"/>
      <c r="AB2" s="111"/>
      <c r="AC2" s="111"/>
      <c r="AD2" s="111"/>
      <c r="AE2" s="111"/>
      <c r="AF2" s="111"/>
      <c r="AG2" s="111"/>
      <c r="AH2" s="111"/>
      <c r="AI2" s="111"/>
      <c r="AJ2" s="111"/>
      <c r="AK2" s="111"/>
      <c r="AL2" s="111"/>
      <c r="AM2" s="111"/>
      <c r="AN2" s="111"/>
      <c r="AO2" s="111"/>
    </row>
    <row r="3" spans="1:41" s="109" customFormat="1" ht="63.75" x14ac:dyDescent="0.2">
      <c r="A3" s="112"/>
      <c r="B3" s="112"/>
      <c r="C3" s="112"/>
      <c r="D3" s="112"/>
      <c r="E3" s="112"/>
      <c r="F3" s="112"/>
      <c r="G3" s="112"/>
      <c r="H3" s="112"/>
      <c r="I3" s="112"/>
      <c r="J3" s="112"/>
      <c r="K3" s="112"/>
      <c r="L3" s="112"/>
      <c r="M3" s="112"/>
      <c r="N3" s="112"/>
      <c r="O3" s="112"/>
      <c r="P3" s="112" t="s">
        <v>74</v>
      </c>
      <c r="Q3" s="112" t="s">
        <v>76</v>
      </c>
      <c r="R3" s="112" t="s">
        <v>90</v>
      </c>
      <c r="S3" s="111"/>
      <c r="T3" s="111"/>
      <c r="U3" s="111"/>
      <c r="V3" s="111"/>
      <c r="W3" s="111"/>
      <c r="X3" s="111"/>
      <c r="Y3" s="111"/>
      <c r="Z3" s="111"/>
      <c r="AA3" s="111"/>
      <c r="AB3" s="111"/>
      <c r="AC3" s="111"/>
      <c r="AD3" s="111"/>
      <c r="AE3" s="111"/>
      <c r="AF3" s="111"/>
      <c r="AG3" s="111"/>
      <c r="AH3" s="111"/>
      <c r="AI3" s="111"/>
      <c r="AJ3" s="111"/>
      <c r="AK3" s="111"/>
      <c r="AL3" s="111"/>
      <c r="AM3" s="111"/>
      <c r="AN3" s="111"/>
      <c r="AO3" s="111"/>
    </row>
    <row r="4" spans="1:41" s="116" customFormat="1" ht="25.5" x14ac:dyDescent="0.2">
      <c r="A4" s="114" t="s">
        <v>120</v>
      </c>
      <c r="B4" s="114" t="s">
        <v>120</v>
      </c>
      <c r="C4" s="114" t="s">
        <v>120</v>
      </c>
      <c r="D4" s="114" t="s">
        <v>120</v>
      </c>
      <c r="E4" s="114">
        <v>4</v>
      </c>
      <c r="F4" s="114" t="s">
        <v>120</v>
      </c>
      <c r="G4" s="118" t="s">
        <v>144</v>
      </c>
      <c r="H4" s="118" t="s">
        <v>145</v>
      </c>
      <c r="I4" s="118" t="s">
        <v>146</v>
      </c>
      <c r="J4" s="118" t="s">
        <v>147</v>
      </c>
      <c r="K4" s="115"/>
      <c r="L4" s="115"/>
      <c r="M4" s="115"/>
      <c r="N4" s="115">
        <f t="shared" ref="N4:N22" si="0">M4</f>
        <v>0</v>
      </c>
      <c r="O4" s="115" t="s">
        <v>121</v>
      </c>
      <c r="P4" s="124">
        <f t="shared" ref="P4:P22" si="1">IF(K4="X",IF(O4="Complete",N4,0),0)</f>
        <v>0</v>
      </c>
      <c r="Q4" s="125">
        <f t="shared" ref="Q4:Q22" si="2">IF(K4&lt;&gt;"X",IF(O4&lt;&gt;"Complete",N4,0),0)</f>
        <v>0</v>
      </c>
      <c r="R4" s="125">
        <f t="shared" ref="R4:R22" si="3">IF(K4&lt;&gt;"X",IF(O4="Complete",N4,0),0)</f>
        <v>0</v>
      </c>
      <c r="S4" s="111"/>
      <c r="T4" s="111"/>
      <c r="U4" s="111"/>
      <c r="V4" s="111"/>
      <c r="W4" s="111"/>
      <c r="X4" s="111"/>
      <c r="Y4" s="111"/>
      <c r="Z4" s="111"/>
      <c r="AA4" s="111"/>
      <c r="AB4" s="111"/>
      <c r="AC4" s="111"/>
      <c r="AD4" s="111"/>
      <c r="AE4" s="111"/>
      <c r="AF4" s="111"/>
      <c r="AG4" s="111"/>
      <c r="AH4" s="111"/>
      <c r="AI4" s="111"/>
      <c r="AJ4" s="111"/>
      <c r="AK4" s="111"/>
      <c r="AL4" s="111"/>
      <c r="AM4" s="111"/>
      <c r="AN4" s="111"/>
      <c r="AO4" s="111"/>
    </row>
    <row r="5" spans="1:41" s="116" customFormat="1" ht="25.5" x14ac:dyDescent="0.2">
      <c r="A5" s="114" t="s">
        <v>120</v>
      </c>
      <c r="B5" s="114" t="s">
        <v>120</v>
      </c>
      <c r="C5" s="114" t="s">
        <v>120</v>
      </c>
      <c r="D5" s="114" t="s">
        <v>120</v>
      </c>
      <c r="E5" s="114">
        <v>4</v>
      </c>
      <c r="F5" s="114" t="s">
        <v>120</v>
      </c>
      <c r="G5" s="118" t="s">
        <v>144</v>
      </c>
      <c r="H5" s="118" t="s">
        <v>148</v>
      </c>
      <c r="I5" s="118" t="s">
        <v>146</v>
      </c>
      <c r="J5" s="118" t="s">
        <v>149</v>
      </c>
      <c r="K5" s="118"/>
      <c r="L5" s="115"/>
      <c r="M5" s="115"/>
      <c r="N5" s="115">
        <f t="shared" si="0"/>
        <v>0</v>
      </c>
      <c r="O5" s="115" t="s">
        <v>121</v>
      </c>
      <c r="P5" s="124">
        <f t="shared" si="1"/>
        <v>0</v>
      </c>
      <c r="Q5" s="125">
        <f t="shared" si="2"/>
        <v>0</v>
      </c>
      <c r="R5" s="125">
        <f t="shared" si="3"/>
        <v>0</v>
      </c>
      <c r="S5" s="111"/>
      <c r="T5" s="111"/>
      <c r="U5" s="111"/>
      <c r="V5" s="111"/>
      <c r="W5" s="111"/>
      <c r="X5" s="111"/>
      <c r="Y5" s="111"/>
      <c r="Z5" s="111"/>
      <c r="AA5" s="111"/>
      <c r="AB5" s="111"/>
      <c r="AC5" s="111"/>
      <c r="AD5" s="111"/>
      <c r="AE5" s="111"/>
      <c r="AF5" s="111"/>
      <c r="AG5" s="111"/>
      <c r="AH5" s="111"/>
      <c r="AI5" s="111"/>
      <c r="AJ5" s="111"/>
      <c r="AK5" s="111"/>
      <c r="AL5" s="111"/>
      <c r="AM5" s="111"/>
      <c r="AN5" s="111"/>
      <c r="AO5" s="111"/>
    </row>
    <row r="6" spans="1:41" s="89" customFormat="1" ht="25.5" x14ac:dyDescent="0.2">
      <c r="A6" s="114" t="s">
        <v>120</v>
      </c>
      <c r="B6" s="114" t="s">
        <v>120</v>
      </c>
      <c r="C6" s="114" t="s">
        <v>120</v>
      </c>
      <c r="D6" s="114" t="s">
        <v>120</v>
      </c>
      <c r="E6" s="126">
        <v>4</v>
      </c>
      <c r="F6" s="114" t="s">
        <v>120</v>
      </c>
      <c r="G6" s="118" t="s">
        <v>144</v>
      </c>
      <c r="H6" s="118" t="s">
        <v>150</v>
      </c>
      <c r="I6" s="118" t="s">
        <v>146</v>
      </c>
      <c r="J6" s="118" t="s">
        <v>151</v>
      </c>
      <c r="K6" s="118"/>
      <c r="L6" s="127"/>
      <c r="M6" s="127"/>
      <c r="N6" s="127">
        <f t="shared" si="0"/>
        <v>0</v>
      </c>
      <c r="O6" s="127" t="s">
        <v>92</v>
      </c>
      <c r="P6" s="128">
        <f t="shared" si="1"/>
        <v>0</v>
      </c>
      <c r="Q6" s="129">
        <f t="shared" si="2"/>
        <v>0</v>
      </c>
      <c r="R6" s="129">
        <f t="shared" si="3"/>
        <v>0</v>
      </c>
      <c r="S6" s="69"/>
      <c r="T6" s="69"/>
      <c r="U6" s="69"/>
      <c r="V6" s="69"/>
      <c r="W6" s="69"/>
      <c r="X6" s="69"/>
      <c r="Y6" s="69"/>
      <c r="Z6" s="69"/>
      <c r="AA6" s="69"/>
      <c r="AB6" s="69"/>
      <c r="AC6" s="69"/>
      <c r="AD6" s="69"/>
      <c r="AE6" s="69"/>
      <c r="AF6" s="69"/>
      <c r="AG6" s="69"/>
      <c r="AH6" s="69"/>
      <c r="AI6" s="69"/>
      <c r="AJ6" s="69"/>
      <c r="AK6" s="69"/>
      <c r="AL6" s="69"/>
      <c r="AM6" s="69"/>
      <c r="AN6" s="69"/>
      <c r="AO6" s="69"/>
    </row>
    <row r="7" spans="1:41" s="89" customFormat="1" ht="38.25" x14ac:dyDescent="0.2">
      <c r="A7" s="114" t="s">
        <v>120</v>
      </c>
      <c r="B7" s="114" t="s">
        <v>120</v>
      </c>
      <c r="C7" s="114" t="s">
        <v>120</v>
      </c>
      <c r="D7" s="114" t="s">
        <v>120</v>
      </c>
      <c r="E7" s="126">
        <v>4</v>
      </c>
      <c r="F7" s="114" t="s">
        <v>120</v>
      </c>
      <c r="G7" s="118" t="s">
        <v>152</v>
      </c>
      <c r="H7" s="118" t="s">
        <v>153</v>
      </c>
      <c r="I7" s="118" t="s">
        <v>154</v>
      </c>
      <c r="J7" s="118" t="s">
        <v>155</v>
      </c>
      <c r="K7" s="118"/>
      <c r="L7" s="127"/>
      <c r="M7" s="127"/>
      <c r="N7" s="127">
        <f t="shared" si="0"/>
        <v>0</v>
      </c>
      <c r="O7" s="127" t="s">
        <v>92</v>
      </c>
      <c r="P7" s="128">
        <f t="shared" si="1"/>
        <v>0</v>
      </c>
      <c r="Q7" s="129">
        <f t="shared" si="2"/>
        <v>0</v>
      </c>
      <c r="R7" s="129">
        <f t="shared" si="3"/>
        <v>0</v>
      </c>
      <c r="S7" s="69"/>
      <c r="T7" s="69"/>
      <c r="U7" s="69"/>
      <c r="V7" s="69"/>
      <c r="W7" s="69"/>
      <c r="X7" s="69"/>
      <c r="Y7" s="69"/>
      <c r="Z7" s="69"/>
      <c r="AA7" s="69"/>
      <c r="AB7" s="69"/>
      <c r="AC7" s="69"/>
      <c r="AD7" s="69"/>
      <c r="AE7" s="69"/>
      <c r="AF7" s="69"/>
      <c r="AG7" s="69"/>
      <c r="AH7" s="69"/>
      <c r="AI7" s="69"/>
      <c r="AJ7" s="69"/>
      <c r="AK7" s="69"/>
      <c r="AL7" s="69"/>
      <c r="AM7" s="69"/>
      <c r="AN7" s="69"/>
      <c r="AO7" s="69"/>
    </row>
    <row r="8" spans="1:41" s="89" customFormat="1" ht="25.5" x14ac:dyDescent="0.2">
      <c r="A8" s="114" t="s">
        <v>120</v>
      </c>
      <c r="B8" s="114" t="s">
        <v>120</v>
      </c>
      <c r="C8" s="114" t="s">
        <v>120</v>
      </c>
      <c r="D8" s="114" t="s">
        <v>120</v>
      </c>
      <c r="E8" s="126">
        <v>4</v>
      </c>
      <c r="F8" s="114" t="s">
        <v>120</v>
      </c>
      <c r="G8" s="118" t="s">
        <v>152</v>
      </c>
      <c r="H8" s="118" t="s">
        <v>156</v>
      </c>
      <c r="I8" s="118" t="s">
        <v>154</v>
      </c>
      <c r="J8" s="118" t="s">
        <v>157</v>
      </c>
      <c r="K8" s="118"/>
      <c r="L8" s="127"/>
      <c r="M8" s="127"/>
      <c r="N8" s="127">
        <f t="shared" si="0"/>
        <v>0</v>
      </c>
      <c r="O8" s="127" t="s">
        <v>92</v>
      </c>
      <c r="P8" s="128">
        <f t="shared" si="1"/>
        <v>0</v>
      </c>
      <c r="Q8" s="129">
        <f t="shared" si="2"/>
        <v>0</v>
      </c>
      <c r="R8" s="129">
        <f t="shared" si="3"/>
        <v>0</v>
      </c>
      <c r="S8" s="69"/>
      <c r="T8" s="69"/>
      <c r="U8" s="69"/>
      <c r="V8" s="69"/>
      <c r="W8" s="69"/>
      <c r="X8" s="69"/>
      <c r="Y8" s="69"/>
      <c r="Z8" s="69"/>
      <c r="AA8" s="69"/>
      <c r="AB8" s="69"/>
      <c r="AC8" s="69"/>
      <c r="AD8" s="69"/>
      <c r="AE8" s="69"/>
      <c r="AF8" s="69"/>
      <c r="AG8" s="69"/>
      <c r="AH8" s="69"/>
      <c r="AI8" s="69"/>
      <c r="AJ8" s="69"/>
      <c r="AK8" s="69"/>
      <c r="AL8" s="69"/>
      <c r="AM8" s="69"/>
      <c r="AN8" s="69"/>
      <c r="AO8" s="69"/>
    </row>
    <row r="9" spans="1:41" s="89" customFormat="1" ht="25.5" x14ac:dyDescent="0.2">
      <c r="A9" s="114" t="s">
        <v>120</v>
      </c>
      <c r="B9" s="114" t="s">
        <v>120</v>
      </c>
      <c r="C9" s="114" t="s">
        <v>120</v>
      </c>
      <c r="D9" s="114" t="s">
        <v>120</v>
      </c>
      <c r="E9" s="126">
        <v>4</v>
      </c>
      <c r="F9" s="114" t="s">
        <v>120</v>
      </c>
      <c r="G9" s="118" t="s">
        <v>152</v>
      </c>
      <c r="H9" s="118" t="s">
        <v>158</v>
      </c>
      <c r="I9" s="118" t="s">
        <v>154</v>
      </c>
      <c r="J9" s="118" t="s">
        <v>159</v>
      </c>
      <c r="K9" s="118"/>
      <c r="L9" s="127"/>
      <c r="M9" s="127"/>
      <c r="N9" s="127">
        <f t="shared" si="0"/>
        <v>0</v>
      </c>
      <c r="O9" s="127" t="s">
        <v>92</v>
      </c>
      <c r="P9" s="128">
        <f t="shared" si="1"/>
        <v>0</v>
      </c>
      <c r="Q9" s="129">
        <f t="shared" si="2"/>
        <v>0</v>
      </c>
      <c r="R9" s="129">
        <f t="shared" si="3"/>
        <v>0</v>
      </c>
      <c r="S9" s="69"/>
      <c r="T9" s="69"/>
      <c r="U9" s="69"/>
      <c r="V9" s="69"/>
      <c r="W9" s="69"/>
      <c r="X9" s="69"/>
      <c r="Y9" s="69"/>
      <c r="Z9" s="69"/>
      <c r="AA9" s="69"/>
      <c r="AB9" s="69"/>
      <c r="AC9" s="69"/>
      <c r="AD9" s="69"/>
      <c r="AE9" s="69"/>
      <c r="AF9" s="69"/>
      <c r="AG9" s="69"/>
      <c r="AH9" s="69"/>
      <c r="AI9" s="69"/>
      <c r="AJ9" s="69"/>
      <c r="AK9" s="69"/>
      <c r="AL9" s="69"/>
      <c r="AM9" s="69"/>
      <c r="AN9" s="69"/>
      <c r="AO9" s="69"/>
    </row>
    <row r="10" spans="1:41" s="89" customFormat="1" ht="38.25" x14ac:dyDescent="0.2">
      <c r="A10" s="114" t="s">
        <v>120</v>
      </c>
      <c r="B10" s="114" t="s">
        <v>120</v>
      </c>
      <c r="C10" s="114" t="s">
        <v>120</v>
      </c>
      <c r="D10" s="114" t="s">
        <v>120</v>
      </c>
      <c r="E10" s="126">
        <v>4</v>
      </c>
      <c r="F10" s="114" t="s">
        <v>120</v>
      </c>
      <c r="G10" s="118" t="s">
        <v>152</v>
      </c>
      <c r="H10" s="118" t="s">
        <v>160</v>
      </c>
      <c r="I10" s="118" t="s">
        <v>154</v>
      </c>
      <c r="J10" s="118" t="s">
        <v>136</v>
      </c>
      <c r="K10" s="118"/>
      <c r="L10" s="127"/>
      <c r="M10" s="127"/>
      <c r="N10" s="127">
        <f t="shared" si="0"/>
        <v>0</v>
      </c>
      <c r="O10" s="127" t="s">
        <v>92</v>
      </c>
      <c r="P10" s="128">
        <f t="shared" si="1"/>
        <v>0</v>
      </c>
      <c r="Q10" s="129">
        <f t="shared" si="2"/>
        <v>0</v>
      </c>
      <c r="R10" s="129">
        <f t="shared" si="3"/>
        <v>0</v>
      </c>
      <c r="S10" s="69"/>
      <c r="T10" s="69"/>
      <c r="U10" s="69"/>
      <c r="V10" s="69"/>
      <c r="W10" s="69"/>
      <c r="X10" s="69"/>
      <c r="Y10" s="69"/>
      <c r="Z10" s="69"/>
      <c r="AA10" s="69"/>
      <c r="AB10" s="69"/>
      <c r="AC10" s="69"/>
      <c r="AD10" s="69"/>
      <c r="AE10" s="69"/>
      <c r="AF10" s="69"/>
      <c r="AG10" s="69"/>
      <c r="AH10" s="69"/>
      <c r="AI10" s="69"/>
      <c r="AJ10" s="69"/>
      <c r="AK10" s="69"/>
      <c r="AL10" s="69"/>
      <c r="AM10" s="69"/>
      <c r="AN10" s="69"/>
      <c r="AO10" s="69"/>
    </row>
    <row r="11" spans="1:41" s="89" customFormat="1" ht="25.5" x14ac:dyDescent="0.2">
      <c r="A11" s="114" t="s">
        <v>120</v>
      </c>
      <c r="B11" s="114" t="s">
        <v>120</v>
      </c>
      <c r="C11" s="114" t="s">
        <v>120</v>
      </c>
      <c r="D11" s="114" t="s">
        <v>120</v>
      </c>
      <c r="E11" s="126">
        <v>4</v>
      </c>
      <c r="F11" s="114" t="s">
        <v>120</v>
      </c>
      <c r="G11" s="118" t="s">
        <v>161</v>
      </c>
      <c r="H11" s="118" t="s">
        <v>162</v>
      </c>
      <c r="I11" s="118" t="s">
        <v>163</v>
      </c>
      <c r="J11" s="118" t="s">
        <v>140</v>
      </c>
      <c r="K11" s="118"/>
      <c r="L11" s="127"/>
      <c r="M11" s="127"/>
      <c r="N11" s="127">
        <f t="shared" si="0"/>
        <v>0</v>
      </c>
      <c r="O11" s="127" t="s">
        <v>92</v>
      </c>
      <c r="P11" s="128">
        <f t="shared" si="1"/>
        <v>0</v>
      </c>
      <c r="Q11" s="129">
        <f t="shared" si="2"/>
        <v>0</v>
      </c>
      <c r="R11" s="129">
        <f t="shared" si="3"/>
        <v>0</v>
      </c>
      <c r="S11" s="69"/>
      <c r="T11" s="69"/>
      <c r="U11" s="69"/>
      <c r="V11" s="69"/>
      <c r="W11" s="69"/>
      <c r="X11" s="69"/>
      <c r="Y11" s="69"/>
      <c r="Z11" s="69"/>
      <c r="AA11" s="69"/>
      <c r="AB11" s="69"/>
      <c r="AC11" s="69"/>
      <c r="AD11" s="69"/>
      <c r="AE11" s="69"/>
      <c r="AF11" s="69"/>
      <c r="AG11" s="69"/>
      <c r="AH11" s="69"/>
      <c r="AI11" s="69"/>
      <c r="AJ11" s="69"/>
      <c r="AK11" s="69"/>
      <c r="AL11" s="69"/>
      <c r="AM11" s="69"/>
      <c r="AN11" s="69"/>
      <c r="AO11" s="69"/>
    </row>
    <row r="12" spans="1:41" s="89" customFormat="1" ht="38.25" x14ac:dyDescent="0.2">
      <c r="A12" s="114" t="s">
        <v>120</v>
      </c>
      <c r="B12" s="114" t="s">
        <v>120</v>
      </c>
      <c r="C12" s="114" t="s">
        <v>120</v>
      </c>
      <c r="D12" s="114" t="s">
        <v>120</v>
      </c>
      <c r="E12" s="126">
        <v>4</v>
      </c>
      <c r="F12" s="114" t="s">
        <v>120</v>
      </c>
      <c r="G12" s="118" t="s">
        <v>161</v>
      </c>
      <c r="H12" s="118" t="s">
        <v>164</v>
      </c>
      <c r="I12" s="118" t="s">
        <v>163</v>
      </c>
      <c r="J12" s="118" t="s">
        <v>165</v>
      </c>
      <c r="K12" s="118"/>
      <c r="L12" s="127"/>
      <c r="M12" s="127"/>
      <c r="N12" s="127">
        <f t="shared" si="0"/>
        <v>0</v>
      </c>
      <c r="O12" s="127" t="s">
        <v>92</v>
      </c>
      <c r="P12" s="128">
        <f t="shared" si="1"/>
        <v>0</v>
      </c>
      <c r="Q12" s="129">
        <f t="shared" si="2"/>
        <v>0</v>
      </c>
      <c r="R12" s="129">
        <f t="shared" si="3"/>
        <v>0</v>
      </c>
      <c r="S12" s="69"/>
      <c r="T12" s="69"/>
      <c r="U12" s="69"/>
      <c r="V12" s="69"/>
      <c r="W12" s="69"/>
      <c r="X12" s="69"/>
      <c r="Y12" s="69"/>
      <c r="Z12" s="69"/>
      <c r="AA12" s="69"/>
      <c r="AB12" s="69"/>
      <c r="AC12" s="69"/>
      <c r="AD12" s="69"/>
      <c r="AE12" s="69"/>
      <c r="AF12" s="69"/>
      <c r="AG12" s="69"/>
      <c r="AH12" s="69"/>
      <c r="AI12" s="69"/>
      <c r="AJ12" s="69"/>
      <c r="AK12" s="69"/>
      <c r="AL12" s="69"/>
      <c r="AM12" s="69"/>
      <c r="AN12" s="69"/>
      <c r="AO12" s="69"/>
    </row>
    <row r="13" spans="1:41" s="89" customFormat="1" ht="51" x14ac:dyDescent="0.2">
      <c r="A13" s="114" t="s">
        <v>120</v>
      </c>
      <c r="B13" s="114" t="s">
        <v>120</v>
      </c>
      <c r="C13" s="114" t="s">
        <v>120</v>
      </c>
      <c r="D13" s="114" t="s">
        <v>120</v>
      </c>
      <c r="E13" s="126">
        <v>4</v>
      </c>
      <c r="F13" s="114" t="s">
        <v>120</v>
      </c>
      <c r="G13" s="118" t="s">
        <v>161</v>
      </c>
      <c r="H13" s="118" t="s">
        <v>166</v>
      </c>
      <c r="I13" s="118" t="s">
        <v>163</v>
      </c>
      <c r="J13" s="118" t="s">
        <v>167</v>
      </c>
      <c r="K13" s="118"/>
      <c r="L13" s="127"/>
      <c r="M13" s="127"/>
      <c r="N13" s="127">
        <f t="shared" si="0"/>
        <v>0</v>
      </c>
      <c r="O13" s="127" t="s">
        <v>92</v>
      </c>
      <c r="P13" s="128">
        <f t="shared" si="1"/>
        <v>0</v>
      </c>
      <c r="Q13" s="129">
        <f t="shared" si="2"/>
        <v>0</v>
      </c>
      <c r="R13" s="129">
        <f t="shared" si="3"/>
        <v>0</v>
      </c>
      <c r="S13" s="69"/>
      <c r="T13" s="69"/>
      <c r="U13" s="69"/>
      <c r="V13" s="69"/>
      <c r="W13" s="69"/>
      <c r="X13" s="69"/>
      <c r="Y13" s="69"/>
      <c r="Z13" s="69"/>
      <c r="AA13" s="69"/>
      <c r="AB13" s="69"/>
      <c r="AC13" s="69"/>
      <c r="AD13" s="69"/>
      <c r="AE13" s="69"/>
      <c r="AF13" s="69"/>
      <c r="AG13" s="69"/>
      <c r="AH13" s="69"/>
      <c r="AI13" s="69"/>
      <c r="AJ13" s="69"/>
      <c r="AK13" s="69"/>
      <c r="AL13" s="69"/>
      <c r="AM13" s="69"/>
      <c r="AN13" s="69"/>
      <c r="AO13" s="69"/>
    </row>
    <row r="14" spans="1:41" s="89" customFormat="1" ht="76.5" x14ac:dyDescent="0.2">
      <c r="A14" s="114" t="s">
        <v>120</v>
      </c>
      <c r="B14" s="114" t="s">
        <v>120</v>
      </c>
      <c r="C14" s="114" t="s">
        <v>120</v>
      </c>
      <c r="D14" s="114" t="s">
        <v>120</v>
      </c>
      <c r="E14" s="126">
        <v>4</v>
      </c>
      <c r="F14" s="114" t="s">
        <v>120</v>
      </c>
      <c r="G14" s="118" t="s">
        <v>161</v>
      </c>
      <c r="H14" s="118" t="s">
        <v>168</v>
      </c>
      <c r="I14" s="118" t="s">
        <v>163</v>
      </c>
      <c r="J14" s="118" t="s">
        <v>169</v>
      </c>
      <c r="K14" s="127"/>
      <c r="L14" s="127"/>
      <c r="M14" s="127"/>
      <c r="N14" s="127">
        <f t="shared" si="0"/>
        <v>0</v>
      </c>
      <c r="O14" s="127" t="s">
        <v>100</v>
      </c>
      <c r="P14" s="128">
        <f t="shared" si="1"/>
        <v>0</v>
      </c>
      <c r="Q14" s="129">
        <f t="shared" si="2"/>
        <v>0</v>
      </c>
      <c r="R14" s="129">
        <f t="shared" si="3"/>
        <v>0</v>
      </c>
      <c r="S14" s="69"/>
      <c r="T14" s="69"/>
      <c r="U14" s="69"/>
      <c r="V14" s="69"/>
      <c r="W14" s="69"/>
      <c r="X14" s="69"/>
      <c r="Y14" s="69"/>
      <c r="Z14" s="69"/>
      <c r="AA14" s="69"/>
      <c r="AB14" s="69"/>
      <c r="AC14" s="69"/>
      <c r="AD14" s="69"/>
      <c r="AE14" s="69"/>
      <c r="AF14" s="69"/>
      <c r="AG14" s="69"/>
      <c r="AH14" s="69"/>
      <c r="AI14" s="69"/>
      <c r="AJ14" s="69"/>
      <c r="AK14" s="69"/>
      <c r="AL14" s="69"/>
      <c r="AM14" s="69"/>
      <c r="AN14" s="69"/>
      <c r="AO14" s="69"/>
    </row>
    <row r="15" spans="1:41" s="89" customFormat="1" ht="25.5" x14ac:dyDescent="0.2">
      <c r="A15" s="114" t="s">
        <v>120</v>
      </c>
      <c r="B15" s="114" t="s">
        <v>120</v>
      </c>
      <c r="C15" s="114" t="s">
        <v>120</v>
      </c>
      <c r="D15" s="114" t="s">
        <v>120</v>
      </c>
      <c r="E15" s="126">
        <v>4</v>
      </c>
      <c r="F15" s="114" t="s">
        <v>120</v>
      </c>
      <c r="G15" s="118" t="s">
        <v>161</v>
      </c>
      <c r="H15" s="118" t="s">
        <v>170</v>
      </c>
      <c r="I15" s="118" t="s">
        <v>163</v>
      </c>
      <c r="J15" s="118" t="s">
        <v>171</v>
      </c>
      <c r="K15" s="127"/>
      <c r="L15" s="127"/>
      <c r="M15" s="127"/>
      <c r="N15" s="127">
        <f t="shared" si="0"/>
        <v>0</v>
      </c>
      <c r="O15" s="127" t="s">
        <v>92</v>
      </c>
      <c r="P15" s="128">
        <f t="shared" si="1"/>
        <v>0</v>
      </c>
      <c r="Q15" s="129">
        <f t="shared" si="2"/>
        <v>0</v>
      </c>
      <c r="R15" s="129">
        <f t="shared" si="3"/>
        <v>0</v>
      </c>
      <c r="S15" s="69"/>
      <c r="T15" s="69"/>
      <c r="U15" s="69"/>
      <c r="V15" s="69"/>
      <c r="W15" s="69"/>
      <c r="X15" s="69"/>
      <c r="Y15" s="69"/>
      <c r="Z15" s="69"/>
      <c r="AA15" s="69"/>
      <c r="AB15" s="69"/>
      <c r="AC15" s="69"/>
      <c r="AD15" s="69"/>
      <c r="AE15" s="69"/>
      <c r="AF15" s="69"/>
      <c r="AG15" s="69"/>
      <c r="AH15" s="69"/>
      <c r="AI15" s="69"/>
      <c r="AJ15" s="69"/>
      <c r="AK15" s="69"/>
      <c r="AL15" s="69"/>
      <c r="AM15" s="69"/>
      <c r="AN15" s="69"/>
      <c r="AO15" s="69"/>
    </row>
    <row r="16" spans="1:41" s="90" customFormat="1" ht="25.5" x14ac:dyDescent="0.2">
      <c r="A16" s="114" t="s">
        <v>120</v>
      </c>
      <c r="B16" s="114" t="s">
        <v>120</v>
      </c>
      <c r="C16" s="114" t="s">
        <v>120</v>
      </c>
      <c r="D16" s="114" t="s">
        <v>120</v>
      </c>
      <c r="E16" s="126">
        <v>4</v>
      </c>
      <c r="F16" s="114" t="s">
        <v>120</v>
      </c>
      <c r="G16" s="118" t="s">
        <v>172</v>
      </c>
      <c r="H16" s="118" t="s">
        <v>173</v>
      </c>
      <c r="I16" s="118" t="s">
        <v>174</v>
      </c>
      <c r="J16" s="118" t="s">
        <v>175</v>
      </c>
      <c r="K16" s="127"/>
      <c r="L16" s="127"/>
      <c r="M16" s="127"/>
      <c r="N16" s="127">
        <f t="shared" si="0"/>
        <v>0</v>
      </c>
      <c r="O16" s="127" t="s">
        <v>92</v>
      </c>
      <c r="P16" s="128">
        <f t="shared" si="1"/>
        <v>0</v>
      </c>
      <c r="Q16" s="129">
        <f t="shared" si="2"/>
        <v>0</v>
      </c>
      <c r="R16" s="129">
        <f t="shared" si="3"/>
        <v>0</v>
      </c>
      <c r="S16" s="69"/>
      <c r="T16" s="69"/>
      <c r="U16" s="69"/>
      <c r="V16" s="69"/>
      <c r="W16" s="69"/>
      <c r="X16" s="69"/>
      <c r="Y16" s="69"/>
      <c r="Z16" s="69"/>
      <c r="AA16" s="69"/>
      <c r="AB16" s="69"/>
      <c r="AC16" s="69"/>
      <c r="AD16" s="69"/>
      <c r="AE16" s="69"/>
      <c r="AF16" s="69"/>
      <c r="AG16" s="69"/>
      <c r="AH16" s="69"/>
      <c r="AI16" s="69"/>
      <c r="AJ16" s="69"/>
      <c r="AK16" s="69"/>
      <c r="AL16" s="69"/>
      <c r="AM16" s="69"/>
      <c r="AN16" s="69"/>
      <c r="AO16" s="69"/>
    </row>
    <row r="17" spans="1:42" s="89" customFormat="1" ht="38.25" x14ac:dyDescent="0.2">
      <c r="A17" s="114" t="s">
        <v>120</v>
      </c>
      <c r="B17" s="114" t="s">
        <v>120</v>
      </c>
      <c r="C17" s="114" t="s">
        <v>120</v>
      </c>
      <c r="D17" s="114" t="s">
        <v>120</v>
      </c>
      <c r="E17" s="126">
        <v>4</v>
      </c>
      <c r="F17" s="114" t="s">
        <v>120</v>
      </c>
      <c r="G17" s="118" t="s">
        <v>172</v>
      </c>
      <c r="H17" s="118" t="s">
        <v>176</v>
      </c>
      <c r="I17" s="118" t="s">
        <v>174</v>
      </c>
      <c r="J17" s="118" t="s">
        <v>177</v>
      </c>
      <c r="K17" s="127"/>
      <c r="L17" s="127"/>
      <c r="M17" s="127"/>
      <c r="N17" s="127">
        <f t="shared" si="0"/>
        <v>0</v>
      </c>
      <c r="O17" s="127" t="s">
        <v>92</v>
      </c>
      <c r="P17" s="128">
        <f t="shared" si="1"/>
        <v>0</v>
      </c>
      <c r="Q17" s="129">
        <f t="shared" si="2"/>
        <v>0</v>
      </c>
      <c r="R17" s="129">
        <f t="shared" si="3"/>
        <v>0</v>
      </c>
      <c r="S17" s="69"/>
      <c r="T17" s="69"/>
      <c r="U17" s="69"/>
      <c r="V17" s="69"/>
      <c r="W17" s="69"/>
      <c r="X17" s="69"/>
      <c r="Y17" s="69"/>
      <c r="Z17" s="69"/>
      <c r="AA17" s="69"/>
      <c r="AB17" s="69"/>
      <c r="AC17" s="69"/>
      <c r="AD17" s="69"/>
      <c r="AE17" s="69"/>
      <c r="AF17" s="69"/>
      <c r="AG17" s="69"/>
      <c r="AH17" s="69"/>
      <c r="AI17" s="69"/>
      <c r="AJ17" s="69"/>
      <c r="AK17" s="69"/>
      <c r="AL17" s="69"/>
      <c r="AM17" s="69"/>
      <c r="AN17" s="69"/>
      <c r="AO17" s="69"/>
    </row>
    <row r="18" spans="1:42" s="89" customFormat="1" ht="51" x14ac:dyDescent="0.2">
      <c r="A18" s="114" t="s">
        <v>120</v>
      </c>
      <c r="B18" s="114" t="s">
        <v>120</v>
      </c>
      <c r="C18" s="114" t="s">
        <v>120</v>
      </c>
      <c r="D18" s="114" t="s">
        <v>120</v>
      </c>
      <c r="E18" s="126">
        <v>4</v>
      </c>
      <c r="F18" s="114" t="s">
        <v>120</v>
      </c>
      <c r="G18" s="118" t="s">
        <v>172</v>
      </c>
      <c r="H18" s="118" t="s">
        <v>178</v>
      </c>
      <c r="I18" s="118" t="s">
        <v>174</v>
      </c>
      <c r="J18" s="118" t="s">
        <v>179</v>
      </c>
      <c r="K18" s="127"/>
      <c r="L18" s="127"/>
      <c r="M18" s="127"/>
      <c r="N18" s="127">
        <f t="shared" si="0"/>
        <v>0</v>
      </c>
      <c r="O18" s="127" t="s">
        <v>92</v>
      </c>
      <c r="P18" s="128">
        <f t="shared" si="1"/>
        <v>0</v>
      </c>
      <c r="Q18" s="129">
        <f t="shared" si="2"/>
        <v>0</v>
      </c>
      <c r="R18" s="129">
        <f t="shared" si="3"/>
        <v>0</v>
      </c>
      <c r="S18" s="69"/>
      <c r="T18" s="69"/>
      <c r="U18" s="69"/>
      <c r="V18" s="69"/>
      <c r="W18" s="69"/>
      <c r="X18" s="69"/>
      <c r="Y18" s="69"/>
      <c r="Z18" s="69"/>
      <c r="AA18" s="69"/>
      <c r="AB18" s="69"/>
      <c r="AC18" s="69"/>
      <c r="AD18" s="69"/>
      <c r="AE18" s="69"/>
      <c r="AF18" s="69"/>
      <c r="AG18" s="69"/>
      <c r="AH18" s="69"/>
      <c r="AI18" s="69"/>
      <c r="AJ18" s="69"/>
      <c r="AK18" s="69"/>
      <c r="AL18" s="69"/>
      <c r="AM18" s="69"/>
      <c r="AN18" s="69"/>
      <c r="AO18" s="69"/>
    </row>
    <row r="19" spans="1:42" s="89" customFormat="1" ht="25.5" x14ac:dyDescent="0.2">
      <c r="A19" s="114" t="s">
        <v>120</v>
      </c>
      <c r="B19" s="114" t="s">
        <v>120</v>
      </c>
      <c r="C19" s="114" t="s">
        <v>120</v>
      </c>
      <c r="D19" s="114" t="s">
        <v>120</v>
      </c>
      <c r="E19" s="126">
        <v>4</v>
      </c>
      <c r="F19" s="114" t="s">
        <v>120</v>
      </c>
      <c r="G19" s="118" t="s">
        <v>172</v>
      </c>
      <c r="H19" s="118" t="s">
        <v>180</v>
      </c>
      <c r="I19" s="118" t="s">
        <v>174</v>
      </c>
      <c r="J19" s="118" t="s">
        <v>181</v>
      </c>
      <c r="K19" s="127"/>
      <c r="L19" s="127"/>
      <c r="M19" s="127"/>
      <c r="N19" s="127">
        <f t="shared" si="0"/>
        <v>0</v>
      </c>
      <c r="O19" s="127" t="s">
        <v>92</v>
      </c>
      <c r="P19" s="128">
        <f t="shared" si="1"/>
        <v>0</v>
      </c>
      <c r="Q19" s="129">
        <f t="shared" si="2"/>
        <v>0</v>
      </c>
      <c r="R19" s="129">
        <f t="shared" si="3"/>
        <v>0</v>
      </c>
      <c r="S19" s="69"/>
      <c r="T19" s="69"/>
      <c r="U19" s="69"/>
      <c r="V19" s="69"/>
      <c r="W19" s="69"/>
      <c r="X19" s="69"/>
      <c r="Y19" s="69"/>
      <c r="Z19" s="69"/>
      <c r="AA19" s="69"/>
      <c r="AB19" s="69"/>
      <c r="AC19" s="69"/>
      <c r="AD19" s="69"/>
      <c r="AE19" s="69"/>
      <c r="AF19" s="69"/>
      <c r="AG19" s="69"/>
      <c r="AH19" s="69"/>
      <c r="AI19" s="69"/>
      <c r="AJ19" s="69"/>
      <c r="AK19" s="69"/>
      <c r="AL19" s="69"/>
      <c r="AM19" s="69"/>
      <c r="AN19" s="69"/>
      <c r="AO19" s="69"/>
    </row>
    <row r="20" spans="1:42" s="89" customFormat="1" x14ac:dyDescent="0.2">
      <c r="A20" s="114"/>
      <c r="B20" s="114"/>
      <c r="C20" s="114"/>
      <c r="D20" s="114"/>
      <c r="E20" s="127"/>
      <c r="F20" s="114"/>
      <c r="G20" s="130"/>
      <c r="H20" s="130"/>
      <c r="I20" s="130"/>
      <c r="J20" s="130"/>
      <c r="K20" s="130"/>
      <c r="L20" s="127"/>
      <c r="M20" s="130"/>
      <c r="N20" s="127">
        <f t="shared" si="0"/>
        <v>0</v>
      </c>
      <c r="O20" s="130" t="s">
        <v>92</v>
      </c>
      <c r="P20" s="128">
        <f t="shared" si="1"/>
        <v>0</v>
      </c>
      <c r="Q20" s="129">
        <f t="shared" si="2"/>
        <v>0</v>
      </c>
      <c r="R20" s="129">
        <f t="shared" si="3"/>
        <v>0</v>
      </c>
      <c r="S20" s="69"/>
      <c r="T20" s="69"/>
      <c r="U20" s="69"/>
      <c r="V20" s="69"/>
      <c r="W20" s="69"/>
      <c r="X20" s="69"/>
      <c r="Y20" s="69"/>
      <c r="Z20" s="69"/>
      <c r="AA20" s="69"/>
      <c r="AB20" s="69"/>
      <c r="AC20" s="69"/>
      <c r="AD20" s="69"/>
      <c r="AE20" s="69"/>
      <c r="AF20" s="69"/>
      <c r="AG20" s="69"/>
      <c r="AH20" s="69"/>
      <c r="AI20" s="69"/>
      <c r="AJ20" s="69"/>
      <c r="AK20" s="69"/>
      <c r="AL20" s="69"/>
      <c r="AM20" s="69"/>
      <c r="AN20" s="69"/>
      <c r="AO20" s="69"/>
    </row>
    <row r="21" spans="1:42" s="89" customFormat="1" x14ac:dyDescent="0.2">
      <c r="A21" s="127"/>
      <c r="B21" s="131"/>
      <c r="C21" s="131"/>
      <c r="D21" s="130"/>
      <c r="E21" s="130"/>
      <c r="F21" s="130"/>
      <c r="G21" s="130"/>
      <c r="H21" s="130"/>
      <c r="I21" s="130"/>
      <c r="J21" s="130"/>
      <c r="K21" s="130"/>
      <c r="L21" s="127"/>
      <c r="M21" s="130"/>
      <c r="N21" s="127">
        <f t="shared" si="0"/>
        <v>0</v>
      </c>
      <c r="O21" s="130" t="s">
        <v>92</v>
      </c>
      <c r="P21" s="128">
        <f t="shared" si="1"/>
        <v>0</v>
      </c>
      <c r="Q21" s="129">
        <f t="shared" si="2"/>
        <v>0</v>
      </c>
      <c r="R21" s="129">
        <f t="shared" si="3"/>
        <v>0</v>
      </c>
      <c r="S21" s="69"/>
      <c r="T21" s="69"/>
      <c r="U21" s="69"/>
      <c r="V21" s="69"/>
      <c r="W21" s="69"/>
      <c r="X21" s="69"/>
      <c r="Y21" s="69"/>
      <c r="Z21" s="69"/>
      <c r="AA21" s="69"/>
      <c r="AB21" s="69"/>
      <c r="AC21" s="69"/>
      <c r="AD21" s="69"/>
      <c r="AE21" s="69"/>
      <c r="AF21" s="69"/>
      <c r="AG21" s="69"/>
      <c r="AH21" s="69"/>
      <c r="AI21" s="69"/>
      <c r="AJ21" s="69"/>
      <c r="AK21" s="69"/>
      <c r="AL21" s="69"/>
      <c r="AM21" s="69"/>
      <c r="AN21" s="69"/>
      <c r="AO21" s="69"/>
    </row>
    <row r="22" spans="1:42" s="91" customFormat="1" x14ac:dyDescent="0.2">
      <c r="A22" s="127"/>
      <c r="B22" s="132"/>
      <c r="C22" s="132"/>
      <c r="D22" s="127"/>
      <c r="E22" s="127"/>
      <c r="F22" s="127"/>
      <c r="G22" s="127"/>
      <c r="H22" s="127"/>
      <c r="I22" s="127"/>
      <c r="J22" s="127"/>
      <c r="K22" s="127"/>
      <c r="L22" s="127"/>
      <c r="M22" s="130"/>
      <c r="N22" s="127">
        <f t="shared" si="0"/>
        <v>0</v>
      </c>
      <c r="O22" s="130" t="s">
        <v>92</v>
      </c>
      <c r="P22" s="128">
        <f t="shared" si="1"/>
        <v>0</v>
      </c>
      <c r="Q22" s="129">
        <f t="shared" si="2"/>
        <v>0</v>
      </c>
      <c r="R22" s="129">
        <f t="shared" si="3"/>
        <v>0</v>
      </c>
      <c r="AP22" s="92"/>
    </row>
    <row r="23" spans="1:42" s="91" customFormat="1" ht="51" x14ac:dyDescent="0.2">
      <c r="A23" s="133"/>
      <c r="B23" s="134"/>
      <c r="C23" s="134"/>
      <c r="D23" s="134"/>
      <c r="E23" s="134"/>
      <c r="F23" s="134"/>
      <c r="G23" s="134"/>
      <c r="H23" s="134"/>
      <c r="I23" s="134"/>
      <c r="J23" s="134"/>
      <c r="K23" s="134"/>
      <c r="L23" s="135" t="s">
        <v>93</v>
      </c>
      <c r="M23" s="135"/>
      <c r="N23" s="136">
        <f>SUM(N4:N22)</f>
        <v>0</v>
      </c>
      <c r="O23" s="134"/>
      <c r="P23" s="137"/>
      <c r="Q23" s="137"/>
      <c r="R23" s="137"/>
      <c r="AP23" s="92"/>
    </row>
    <row r="24" spans="1:42" s="91" customFormat="1" x14ac:dyDescent="0.2">
      <c r="A24" s="95" t="s">
        <v>94</v>
      </c>
      <c r="B24" s="134"/>
      <c r="C24" s="134"/>
      <c r="D24" s="134"/>
      <c r="E24" s="134"/>
      <c r="F24" s="134"/>
      <c r="G24" s="134"/>
      <c r="H24" s="134"/>
      <c r="I24" s="134"/>
      <c r="J24" s="134"/>
      <c r="K24" s="134"/>
      <c r="L24" s="134"/>
      <c r="M24" s="134"/>
      <c r="N24" s="134"/>
      <c r="O24" s="134"/>
      <c r="P24" s="137"/>
      <c r="Q24" s="137"/>
      <c r="R24" s="137"/>
      <c r="AP24" s="92"/>
    </row>
    <row r="25" spans="1:42" s="91" customFormat="1" x14ac:dyDescent="0.2">
      <c r="A25" s="136"/>
      <c r="B25" s="134" t="s">
        <v>95</v>
      </c>
      <c r="C25" s="134"/>
      <c r="D25" s="134"/>
      <c r="E25" s="134"/>
      <c r="F25" s="134"/>
      <c r="G25" s="134"/>
      <c r="H25" s="134"/>
      <c r="I25" s="134"/>
      <c r="J25" s="134"/>
      <c r="K25" s="134"/>
      <c r="L25" s="134"/>
      <c r="M25" s="134"/>
      <c r="N25" s="134"/>
      <c r="O25" s="134"/>
      <c r="P25" s="137"/>
      <c r="Q25" s="137"/>
      <c r="R25" s="137"/>
      <c r="AP25" s="92"/>
    </row>
    <row r="26" spans="1:42" s="91" customFormat="1" x14ac:dyDescent="0.2">
      <c r="A26" s="94"/>
      <c r="B26" s="93"/>
      <c r="C26" s="93"/>
      <c r="D26" s="93"/>
      <c r="E26" s="93"/>
      <c r="F26" s="93"/>
      <c r="G26" s="93"/>
      <c r="H26" s="93"/>
      <c r="I26" s="93"/>
      <c r="J26" s="93"/>
      <c r="K26" s="93"/>
      <c r="L26" s="93"/>
      <c r="M26" s="93"/>
      <c r="N26" s="93"/>
      <c r="O26" s="93"/>
      <c r="AP26" s="92"/>
    </row>
    <row r="27" spans="1:42" s="91" customFormat="1" x14ac:dyDescent="0.2">
      <c r="A27" s="93"/>
      <c r="B27" s="93"/>
      <c r="C27" s="93"/>
      <c r="D27" s="93"/>
      <c r="E27" s="93"/>
      <c r="F27" s="93"/>
      <c r="G27" s="93"/>
      <c r="H27" s="93"/>
      <c r="I27" s="93"/>
      <c r="J27" s="93"/>
      <c r="K27" s="93"/>
      <c r="L27" s="93"/>
      <c r="M27" s="93"/>
      <c r="N27" s="93"/>
      <c r="O27" s="93"/>
      <c r="AP27" s="92"/>
    </row>
    <row r="28" spans="1:42" s="91" customFormat="1" x14ac:dyDescent="0.2">
      <c r="A28" s="93"/>
      <c r="B28" s="93"/>
      <c r="C28" s="93"/>
      <c r="D28" s="93"/>
      <c r="E28" s="93"/>
      <c r="F28" s="93"/>
      <c r="G28" s="93"/>
      <c r="H28" s="93"/>
      <c r="I28" s="93"/>
      <c r="J28" s="93"/>
      <c r="K28" s="93"/>
      <c r="L28" s="93"/>
      <c r="M28" s="93"/>
      <c r="N28" s="93"/>
      <c r="O28" s="93"/>
      <c r="AP28" s="92"/>
    </row>
    <row r="29" spans="1:42" s="91" customFormat="1" x14ac:dyDescent="0.2">
      <c r="A29" s="93"/>
      <c r="B29" s="93"/>
      <c r="C29" s="93"/>
      <c r="D29" s="93"/>
      <c r="E29" s="93"/>
      <c r="F29" s="93"/>
      <c r="G29" s="93"/>
      <c r="H29" s="93"/>
      <c r="I29" s="93"/>
      <c r="J29" s="93"/>
      <c r="K29" s="93"/>
      <c r="L29" s="93"/>
      <c r="M29" s="93"/>
      <c r="N29" s="93"/>
      <c r="O29" s="93"/>
      <c r="AP29" s="92"/>
    </row>
    <row r="30" spans="1:42" s="91" customFormat="1" x14ac:dyDescent="0.2">
      <c r="A30" s="93"/>
      <c r="B30" s="93"/>
      <c r="C30" s="93"/>
      <c r="D30" s="93"/>
      <c r="E30" s="93"/>
      <c r="F30" s="93"/>
      <c r="G30" s="93"/>
      <c r="H30" s="93"/>
      <c r="I30" s="93"/>
      <c r="J30" s="93"/>
      <c r="K30" s="93"/>
      <c r="L30" s="93"/>
      <c r="M30" s="93"/>
      <c r="N30" s="93"/>
      <c r="O30" s="93"/>
      <c r="AP30" s="92"/>
    </row>
    <row r="31" spans="1:42" s="91" customFormat="1" x14ac:dyDescent="0.2">
      <c r="A31" s="93"/>
      <c r="B31" s="93"/>
      <c r="C31" s="93"/>
      <c r="D31" s="93"/>
      <c r="E31" s="93"/>
      <c r="F31" s="93"/>
      <c r="G31" s="93"/>
      <c r="H31" s="93"/>
      <c r="I31" s="93"/>
      <c r="J31" s="93"/>
      <c r="K31" s="93"/>
      <c r="L31" s="93"/>
      <c r="M31" s="93"/>
      <c r="N31" s="93"/>
      <c r="O31" s="93"/>
      <c r="AP31" s="92"/>
    </row>
    <row r="32" spans="1:42" s="91" customFormat="1" x14ac:dyDescent="0.2">
      <c r="A32" s="93"/>
      <c r="B32" s="93"/>
      <c r="C32" s="93"/>
      <c r="D32" s="93"/>
      <c r="E32" s="93"/>
      <c r="F32" s="93"/>
      <c r="G32" s="93"/>
      <c r="H32" s="93"/>
      <c r="I32" s="93"/>
      <c r="J32" s="93"/>
      <c r="K32" s="93"/>
      <c r="L32" s="93"/>
      <c r="M32" s="93"/>
      <c r="N32" s="93"/>
      <c r="O32" s="93"/>
      <c r="AP32" s="92"/>
    </row>
    <row r="33" spans="1:15" s="91" customFormat="1" x14ac:dyDescent="0.2">
      <c r="A33" s="93"/>
      <c r="B33" s="93"/>
      <c r="C33" s="93"/>
      <c r="D33" s="93"/>
      <c r="E33" s="93"/>
      <c r="F33" s="93"/>
      <c r="G33" s="93"/>
      <c r="H33" s="93"/>
      <c r="I33" s="93"/>
      <c r="J33" s="93"/>
      <c r="K33" s="93"/>
      <c r="L33" s="93"/>
      <c r="M33" s="93"/>
      <c r="N33" s="93"/>
      <c r="O33" s="93"/>
    </row>
    <row r="34" spans="1:15" s="91" customFormat="1" x14ac:dyDescent="0.2">
      <c r="A34" s="93"/>
      <c r="B34" s="93"/>
      <c r="C34" s="93"/>
      <c r="D34" s="93"/>
      <c r="E34" s="93"/>
      <c r="F34" s="93"/>
      <c r="G34" s="93"/>
      <c r="H34" s="93"/>
      <c r="I34" s="93"/>
      <c r="J34" s="93"/>
      <c r="K34" s="93"/>
      <c r="L34" s="93"/>
      <c r="M34" s="93"/>
      <c r="N34" s="93"/>
      <c r="O34" s="93"/>
    </row>
    <row r="35" spans="1:15" s="91" customFormat="1" x14ac:dyDescent="0.2">
      <c r="A35" s="93"/>
      <c r="B35" s="93"/>
      <c r="C35" s="93"/>
      <c r="D35" s="93"/>
      <c r="E35" s="93"/>
      <c r="F35" s="93"/>
      <c r="G35" s="93"/>
      <c r="H35" s="93"/>
      <c r="I35" s="93"/>
      <c r="J35" s="93"/>
      <c r="K35" s="93"/>
      <c r="L35" s="93"/>
      <c r="M35" s="93"/>
      <c r="N35" s="93"/>
      <c r="O35" s="93"/>
    </row>
    <row r="36" spans="1:15" s="91" customFormat="1" x14ac:dyDescent="0.2">
      <c r="A36" s="93"/>
      <c r="B36" s="93"/>
      <c r="C36" s="93"/>
      <c r="D36" s="93"/>
      <c r="E36" s="93"/>
      <c r="F36" s="93"/>
      <c r="G36" s="93"/>
      <c r="H36" s="93"/>
      <c r="I36" s="93"/>
      <c r="J36" s="93"/>
      <c r="K36" s="93"/>
      <c r="L36" s="93"/>
      <c r="M36" s="93"/>
      <c r="N36" s="93"/>
      <c r="O36" s="93"/>
    </row>
    <row r="37" spans="1:15" s="91" customFormat="1" x14ac:dyDescent="0.2">
      <c r="A37" s="93"/>
      <c r="B37" s="93"/>
      <c r="C37" s="93"/>
      <c r="D37" s="93"/>
      <c r="E37" s="93"/>
      <c r="F37" s="93"/>
      <c r="G37" s="93"/>
      <c r="H37" s="93"/>
      <c r="I37" s="93"/>
      <c r="J37" s="93"/>
      <c r="K37" s="93"/>
      <c r="L37" s="93"/>
      <c r="M37" s="93"/>
      <c r="N37" s="93"/>
      <c r="O37" s="93"/>
    </row>
    <row r="38" spans="1:15" s="91" customFormat="1" x14ac:dyDescent="0.2">
      <c r="A38" s="93"/>
      <c r="B38" s="93"/>
      <c r="C38" s="93"/>
      <c r="D38" s="93"/>
      <c r="E38" s="93"/>
      <c r="F38" s="93"/>
      <c r="G38" s="93"/>
      <c r="H38" s="93"/>
      <c r="I38" s="93"/>
      <c r="J38" s="93"/>
      <c r="K38" s="93"/>
      <c r="L38" s="93"/>
      <c r="M38" s="93"/>
      <c r="N38" s="96"/>
      <c r="O38" s="96"/>
    </row>
    <row r="39" spans="1:15" s="91" customFormat="1" x14ac:dyDescent="0.2">
      <c r="A39" s="93"/>
      <c r="B39" s="93"/>
      <c r="C39" s="93"/>
      <c r="D39" s="93"/>
      <c r="E39" s="93"/>
      <c r="F39" s="93"/>
      <c r="G39" s="93"/>
      <c r="H39" s="93"/>
      <c r="I39" s="93"/>
      <c r="J39" s="93"/>
      <c r="K39" s="93"/>
      <c r="L39" s="93"/>
      <c r="M39" s="93"/>
      <c r="N39" s="96"/>
      <c r="O39" s="96"/>
    </row>
    <row r="40" spans="1:15" s="91" customFormat="1" x14ac:dyDescent="0.2">
      <c r="A40" s="93"/>
      <c r="B40" s="93"/>
      <c r="C40" s="93"/>
      <c r="D40" s="93"/>
      <c r="E40" s="93"/>
      <c r="F40" s="93"/>
      <c r="G40" s="93"/>
      <c r="H40" s="93"/>
      <c r="I40" s="93"/>
      <c r="J40" s="93"/>
      <c r="K40" s="93"/>
      <c r="L40" s="93"/>
      <c r="M40" s="93"/>
      <c r="N40" s="96"/>
      <c r="O40" s="96"/>
    </row>
    <row r="41" spans="1:15" s="91" customFormat="1" x14ac:dyDescent="0.2">
      <c r="A41" s="93"/>
      <c r="B41" s="93"/>
      <c r="C41" s="93"/>
      <c r="D41" s="93"/>
      <c r="E41" s="93"/>
      <c r="F41" s="93"/>
      <c r="G41" s="93"/>
      <c r="H41" s="93"/>
      <c r="I41" s="93"/>
      <c r="J41" s="93"/>
      <c r="K41" s="93"/>
      <c r="L41" s="93"/>
      <c r="M41" s="93"/>
      <c r="N41" s="96"/>
      <c r="O41" s="96"/>
    </row>
    <row r="42" spans="1:15" s="91" customFormat="1" x14ac:dyDescent="0.2">
      <c r="A42" s="93"/>
      <c r="B42" s="93"/>
      <c r="C42" s="93"/>
      <c r="D42" s="93"/>
      <c r="E42" s="93"/>
      <c r="F42" s="93"/>
      <c r="G42" s="93"/>
      <c r="H42" s="93"/>
      <c r="I42" s="93"/>
      <c r="J42" s="93"/>
      <c r="K42" s="93"/>
      <c r="L42" s="93"/>
      <c r="M42" s="93"/>
      <c r="N42" s="96"/>
      <c r="O42" s="96"/>
    </row>
    <row r="43" spans="1:15" s="91" customFormat="1" x14ac:dyDescent="0.2">
      <c r="A43" s="93"/>
      <c r="B43" s="93"/>
      <c r="C43" s="93"/>
      <c r="D43" s="93"/>
      <c r="E43" s="93"/>
      <c r="F43" s="93"/>
      <c r="G43" s="93"/>
      <c r="H43" s="93"/>
      <c r="I43" s="93"/>
      <c r="J43" s="93"/>
      <c r="K43" s="93"/>
      <c r="L43" s="93"/>
      <c r="M43" s="93"/>
      <c r="N43" s="96"/>
      <c r="O43" s="96"/>
    </row>
    <row r="44" spans="1:15" s="91" customFormat="1" x14ac:dyDescent="0.2">
      <c r="A44" s="93"/>
      <c r="B44" s="93"/>
      <c r="C44" s="93"/>
      <c r="D44" s="93"/>
      <c r="E44" s="93"/>
      <c r="F44" s="93"/>
      <c r="G44" s="93"/>
      <c r="H44" s="93"/>
      <c r="I44" s="93"/>
      <c r="J44" s="93"/>
      <c r="K44" s="93"/>
      <c r="L44" s="93"/>
      <c r="M44" s="93"/>
      <c r="N44" s="96"/>
      <c r="O44" s="96"/>
    </row>
    <row r="45" spans="1:15" s="91" customFormat="1" x14ac:dyDescent="0.2">
      <c r="A45" s="93"/>
      <c r="B45" s="93"/>
      <c r="C45" s="93"/>
      <c r="D45" s="93"/>
      <c r="E45" s="93"/>
      <c r="F45" s="93"/>
      <c r="G45" s="93"/>
      <c r="H45" s="93"/>
      <c r="I45" s="93"/>
      <c r="J45" s="93"/>
      <c r="K45" s="93"/>
      <c r="L45" s="93"/>
      <c r="M45" s="93"/>
      <c r="N45" s="96"/>
      <c r="O45" s="96"/>
    </row>
    <row r="46" spans="1:15" s="91" customFormat="1" x14ac:dyDescent="0.2">
      <c r="A46" s="93"/>
      <c r="B46" s="93"/>
      <c r="C46" s="93"/>
      <c r="D46" s="93"/>
      <c r="E46" s="93"/>
      <c r="F46" s="93"/>
      <c r="G46" s="93"/>
      <c r="H46" s="93"/>
      <c r="I46" s="93"/>
      <c r="J46" s="93"/>
      <c r="K46" s="93"/>
      <c r="L46" s="93"/>
      <c r="M46" s="93"/>
      <c r="N46" s="96"/>
      <c r="O46" s="96"/>
    </row>
    <row r="47" spans="1:15" s="91" customFormat="1" x14ac:dyDescent="0.2">
      <c r="A47" s="93"/>
      <c r="B47" s="93"/>
      <c r="C47" s="93"/>
      <c r="D47" s="93"/>
      <c r="E47" s="93"/>
      <c r="F47" s="93"/>
      <c r="G47" s="93"/>
      <c r="H47" s="93"/>
      <c r="I47" s="93"/>
      <c r="J47" s="93"/>
      <c r="K47" s="93"/>
      <c r="L47" s="93"/>
      <c r="M47" s="93"/>
      <c r="N47" s="96"/>
      <c r="O47" s="96"/>
    </row>
    <row r="48" spans="1:15" s="91" customFormat="1" x14ac:dyDescent="0.2">
      <c r="A48" s="93"/>
      <c r="B48" s="93"/>
      <c r="C48" s="93"/>
      <c r="D48" s="93"/>
      <c r="E48" s="93"/>
      <c r="F48" s="93"/>
      <c r="G48" s="93"/>
      <c r="H48" s="93"/>
      <c r="I48" s="93"/>
      <c r="J48" s="93"/>
      <c r="K48" s="93"/>
      <c r="L48" s="93"/>
      <c r="M48" s="93"/>
      <c r="N48" s="96"/>
      <c r="O48" s="96"/>
    </row>
    <row r="49" spans="1:15" s="91" customFormat="1" x14ac:dyDescent="0.2">
      <c r="A49" s="93"/>
      <c r="B49" s="93"/>
      <c r="C49" s="93"/>
      <c r="D49" s="93"/>
      <c r="E49" s="93"/>
      <c r="F49" s="93"/>
      <c r="G49" s="93"/>
      <c r="H49" s="93"/>
      <c r="I49" s="93"/>
      <c r="J49" s="93"/>
      <c r="K49" s="93"/>
      <c r="L49" s="93"/>
      <c r="M49" s="93"/>
      <c r="N49" s="96"/>
      <c r="O49" s="96"/>
    </row>
    <row r="50" spans="1:15" s="91" customFormat="1" x14ac:dyDescent="0.2">
      <c r="A50" s="93"/>
      <c r="B50" s="93"/>
      <c r="C50" s="93"/>
      <c r="D50" s="93"/>
      <c r="E50" s="93"/>
      <c r="F50" s="93"/>
      <c r="G50" s="93"/>
      <c r="H50" s="93"/>
      <c r="I50" s="93"/>
      <c r="J50" s="93"/>
      <c r="K50" s="93"/>
      <c r="L50" s="93"/>
      <c r="M50" s="93"/>
      <c r="N50" s="96"/>
      <c r="O50" s="96"/>
    </row>
    <row r="51" spans="1:15" s="91" customFormat="1" x14ac:dyDescent="0.2">
      <c r="A51" s="93"/>
      <c r="B51" s="93"/>
      <c r="C51" s="93"/>
      <c r="D51" s="93"/>
      <c r="E51" s="93"/>
      <c r="F51" s="93"/>
      <c r="G51" s="93"/>
      <c r="H51" s="93"/>
      <c r="I51" s="93"/>
      <c r="J51" s="93"/>
      <c r="K51" s="93"/>
      <c r="L51" s="93"/>
      <c r="M51" s="93"/>
      <c r="N51" s="96"/>
      <c r="O51" s="96"/>
    </row>
    <row r="52" spans="1:15" s="91" customFormat="1" x14ac:dyDescent="0.2">
      <c r="A52" s="93"/>
      <c r="B52" s="93"/>
      <c r="C52" s="93"/>
      <c r="D52" s="93"/>
      <c r="E52" s="93"/>
      <c r="F52" s="93"/>
      <c r="G52" s="93"/>
      <c r="H52" s="93"/>
      <c r="I52" s="93"/>
      <c r="J52" s="93"/>
      <c r="K52" s="93"/>
      <c r="L52" s="93"/>
      <c r="M52" s="93"/>
      <c r="N52" s="96"/>
      <c r="O52" s="96"/>
    </row>
    <row r="53" spans="1:15" s="91" customFormat="1" x14ac:dyDescent="0.2">
      <c r="A53" s="93"/>
      <c r="B53" s="93"/>
      <c r="C53" s="93"/>
      <c r="D53" s="93"/>
      <c r="E53" s="93"/>
      <c r="F53" s="93"/>
      <c r="G53" s="93"/>
      <c r="H53" s="93"/>
      <c r="I53" s="93"/>
      <c r="J53" s="93"/>
      <c r="K53" s="93"/>
      <c r="L53" s="93"/>
      <c r="M53" s="93"/>
      <c r="N53" s="96"/>
      <c r="O53" s="96"/>
    </row>
    <row r="54" spans="1:15" s="91" customFormat="1" x14ac:dyDescent="0.2">
      <c r="A54" s="93"/>
      <c r="B54" s="93"/>
      <c r="C54" s="93"/>
      <c r="D54" s="93"/>
      <c r="E54" s="93"/>
      <c r="F54" s="93"/>
      <c r="G54" s="93"/>
      <c r="H54" s="93"/>
      <c r="I54" s="93"/>
      <c r="J54" s="93"/>
      <c r="K54" s="93"/>
      <c r="L54" s="93"/>
      <c r="M54" s="93"/>
      <c r="N54" s="96"/>
      <c r="O54" s="96"/>
    </row>
    <row r="55" spans="1:15" s="91" customFormat="1" x14ac:dyDescent="0.2">
      <c r="A55" s="93"/>
      <c r="B55" s="93"/>
      <c r="C55" s="93"/>
      <c r="D55" s="93"/>
      <c r="E55" s="93"/>
      <c r="F55" s="93"/>
      <c r="G55" s="93"/>
      <c r="H55" s="93"/>
      <c r="I55" s="93"/>
      <c r="J55" s="93"/>
      <c r="K55" s="93"/>
      <c r="L55" s="93"/>
      <c r="M55" s="93"/>
      <c r="N55" s="96"/>
      <c r="O55" s="96"/>
    </row>
    <row r="56" spans="1:15" s="91" customFormat="1" x14ac:dyDescent="0.2">
      <c r="A56" s="93"/>
      <c r="B56" s="93"/>
      <c r="C56" s="93"/>
      <c r="D56" s="93"/>
      <c r="E56" s="93"/>
      <c r="F56" s="93"/>
      <c r="G56" s="93"/>
      <c r="H56" s="93"/>
      <c r="I56" s="93"/>
      <c r="J56" s="93"/>
      <c r="K56" s="93"/>
      <c r="L56" s="93"/>
      <c r="M56" s="93"/>
      <c r="N56" s="96"/>
      <c r="O56" s="96"/>
    </row>
    <row r="57" spans="1:15" s="91" customFormat="1" x14ac:dyDescent="0.2">
      <c r="A57" s="93"/>
      <c r="B57" s="93"/>
      <c r="C57" s="93"/>
      <c r="D57" s="93"/>
      <c r="E57" s="93"/>
      <c r="F57" s="93"/>
      <c r="G57" s="93"/>
      <c r="H57" s="93"/>
      <c r="I57" s="93"/>
      <c r="J57" s="93"/>
      <c r="K57" s="93"/>
      <c r="L57" s="93"/>
      <c r="M57" s="93"/>
      <c r="N57" s="96"/>
      <c r="O57" s="96"/>
    </row>
    <row r="58" spans="1:15" s="91" customFormat="1" x14ac:dyDescent="0.2">
      <c r="A58" s="93"/>
      <c r="B58" s="93"/>
      <c r="C58" s="93"/>
      <c r="D58" s="93"/>
      <c r="E58" s="93"/>
      <c r="F58" s="93"/>
      <c r="G58" s="93"/>
      <c r="H58" s="93"/>
      <c r="I58" s="93"/>
      <c r="J58" s="93"/>
      <c r="K58" s="93"/>
      <c r="L58" s="93"/>
      <c r="M58" s="93"/>
      <c r="N58" s="96"/>
      <c r="O58" s="96"/>
    </row>
    <row r="59" spans="1:15" s="91" customFormat="1" x14ac:dyDescent="0.2">
      <c r="A59" s="93"/>
      <c r="B59" s="93"/>
      <c r="C59" s="93"/>
      <c r="D59" s="93"/>
      <c r="E59" s="93"/>
      <c r="F59" s="93"/>
      <c r="G59" s="93"/>
      <c r="H59" s="93"/>
      <c r="I59" s="93"/>
      <c r="J59" s="93"/>
      <c r="K59" s="93"/>
      <c r="L59" s="93"/>
      <c r="M59" s="93"/>
      <c r="N59" s="96"/>
      <c r="O59" s="96"/>
    </row>
    <row r="60" spans="1:15" s="91" customFormat="1" x14ac:dyDescent="0.2">
      <c r="A60" s="93"/>
      <c r="B60" s="93"/>
      <c r="C60" s="93"/>
      <c r="D60" s="93"/>
      <c r="E60" s="93"/>
      <c r="F60" s="93"/>
      <c r="G60" s="93"/>
      <c r="H60" s="93"/>
      <c r="I60" s="93"/>
      <c r="J60" s="93"/>
      <c r="K60" s="93"/>
      <c r="L60" s="93"/>
      <c r="M60" s="93"/>
      <c r="N60" s="96"/>
      <c r="O60" s="96"/>
    </row>
    <row r="61" spans="1:15" s="91" customFormat="1" x14ac:dyDescent="0.2">
      <c r="A61" s="93"/>
      <c r="B61" s="93"/>
      <c r="C61" s="93"/>
      <c r="D61" s="93"/>
      <c r="E61" s="93"/>
      <c r="F61" s="93"/>
      <c r="G61" s="93"/>
      <c r="H61" s="93"/>
      <c r="I61" s="93"/>
      <c r="J61" s="93"/>
      <c r="K61" s="93"/>
      <c r="L61" s="93"/>
      <c r="M61" s="93"/>
      <c r="N61" s="96"/>
      <c r="O61" s="96"/>
    </row>
    <row r="62" spans="1:15" s="91" customFormat="1" x14ac:dyDescent="0.2">
      <c r="A62" s="93"/>
      <c r="B62" s="93"/>
      <c r="C62" s="93"/>
      <c r="D62" s="93"/>
      <c r="E62" s="93"/>
      <c r="F62" s="93"/>
      <c r="G62" s="93"/>
      <c r="H62" s="93"/>
      <c r="I62" s="93"/>
      <c r="J62" s="93"/>
      <c r="K62" s="93"/>
      <c r="L62" s="93"/>
      <c r="M62" s="93"/>
      <c r="N62" s="96"/>
      <c r="O62" s="96"/>
    </row>
    <row r="63" spans="1:15" s="91" customFormat="1" x14ac:dyDescent="0.2">
      <c r="A63" s="93"/>
      <c r="B63" s="93"/>
      <c r="C63" s="93"/>
      <c r="D63" s="93"/>
      <c r="E63" s="93"/>
      <c r="F63" s="93"/>
      <c r="G63" s="93"/>
      <c r="H63" s="93"/>
      <c r="I63" s="93"/>
      <c r="J63" s="93"/>
      <c r="K63" s="93"/>
      <c r="L63" s="93"/>
      <c r="M63" s="93"/>
      <c r="N63" s="96"/>
      <c r="O63" s="96"/>
    </row>
    <row r="64" spans="1:15" s="91" customFormat="1" x14ac:dyDescent="0.2">
      <c r="A64" s="93"/>
      <c r="B64" s="93"/>
      <c r="C64" s="93"/>
      <c r="D64" s="93"/>
      <c r="E64" s="93"/>
      <c r="F64" s="93"/>
      <c r="G64" s="93"/>
      <c r="H64" s="93"/>
      <c r="I64" s="93"/>
      <c r="J64" s="93"/>
      <c r="K64" s="93"/>
      <c r="L64" s="93"/>
      <c r="M64" s="93"/>
      <c r="N64" s="96"/>
      <c r="O64" s="96"/>
    </row>
    <row r="65" spans="1:15" s="91" customFormat="1" x14ac:dyDescent="0.2">
      <c r="A65" s="93"/>
      <c r="B65" s="93"/>
      <c r="C65" s="93"/>
      <c r="D65" s="93"/>
      <c r="E65" s="93"/>
      <c r="F65" s="93"/>
      <c r="G65" s="93"/>
      <c r="H65" s="93"/>
      <c r="I65" s="93"/>
      <c r="J65" s="93"/>
      <c r="K65" s="93"/>
      <c r="L65" s="93"/>
      <c r="M65" s="93"/>
      <c r="N65" s="96"/>
      <c r="O65" s="96"/>
    </row>
    <row r="66" spans="1:15" s="91" customFormat="1" x14ac:dyDescent="0.2">
      <c r="A66" s="93"/>
      <c r="B66" s="93"/>
      <c r="C66" s="93"/>
      <c r="D66" s="93"/>
      <c r="E66" s="93"/>
      <c r="F66" s="93"/>
      <c r="G66" s="93"/>
      <c r="H66" s="93"/>
      <c r="I66" s="93"/>
      <c r="J66" s="93"/>
      <c r="K66" s="93"/>
      <c r="L66" s="93"/>
      <c r="M66" s="93"/>
      <c r="N66" s="96"/>
      <c r="O66" s="96"/>
    </row>
    <row r="67" spans="1:15" s="91" customFormat="1" x14ac:dyDescent="0.2">
      <c r="A67" s="93"/>
      <c r="B67" s="93"/>
      <c r="C67" s="93"/>
      <c r="D67" s="93"/>
      <c r="E67" s="93"/>
      <c r="F67" s="93"/>
      <c r="G67" s="93"/>
      <c r="H67" s="93"/>
      <c r="I67" s="93"/>
      <c r="J67" s="93"/>
      <c r="K67" s="93"/>
      <c r="L67" s="93"/>
      <c r="M67" s="93"/>
      <c r="N67" s="96"/>
      <c r="O67" s="96"/>
    </row>
    <row r="68" spans="1:15" s="91" customFormat="1" x14ac:dyDescent="0.2">
      <c r="A68" s="93"/>
      <c r="B68" s="93"/>
      <c r="C68" s="93"/>
      <c r="D68" s="93"/>
      <c r="E68" s="93"/>
      <c r="F68" s="93"/>
      <c r="G68" s="93"/>
      <c r="H68" s="93"/>
      <c r="I68" s="93"/>
      <c r="J68" s="93"/>
      <c r="K68" s="93"/>
      <c r="L68" s="93"/>
      <c r="M68" s="93"/>
      <c r="N68" s="96"/>
      <c r="O68" s="96"/>
    </row>
    <row r="69" spans="1:15" s="91" customFormat="1" x14ac:dyDescent="0.2">
      <c r="A69" s="93"/>
      <c r="B69" s="93"/>
      <c r="C69" s="93"/>
      <c r="D69" s="93"/>
      <c r="E69" s="93"/>
      <c r="F69" s="93"/>
      <c r="G69" s="93"/>
      <c r="H69" s="93"/>
      <c r="I69" s="93"/>
      <c r="J69" s="93"/>
      <c r="K69" s="93"/>
      <c r="L69" s="93"/>
      <c r="M69" s="93"/>
      <c r="N69" s="96"/>
      <c r="O69" s="96"/>
    </row>
    <row r="70" spans="1:15" s="91" customFormat="1" x14ac:dyDescent="0.2">
      <c r="A70" s="93"/>
      <c r="B70" s="93"/>
      <c r="C70" s="93"/>
      <c r="D70" s="93"/>
      <c r="E70" s="93"/>
      <c r="F70" s="93"/>
      <c r="G70" s="93"/>
      <c r="H70" s="93"/>
      <c r="I70" s="93"/>
      <c r="J70" s="93"/>
      <c r="K70" s="93"/>
      <c r="L70" s="93"/>
      <c r="M70" s="93"/>
      <c r="N70" s="96"/>
      <c r="O70" s="96"/>
    </row>
    <row r="71" spans="1:15" s="91" customFormat="1" x14ac:dyDescent="0.2">
      <c r="A71" s="93"/>
      <c r="B71" s="93"/>
      <c r="C71" s="93"/>
      <c r="D71" s="93"/>
      <c r="E71" s="93"/>
      <c r="F71" s="93"/>
      <c r="G71" s="93"/>
      <c r="H71" s="93"/>
      <c r="I71" s="93"/>
      <c r="J71" s="93"/>
      <c r="K71" s="93"/>
      <c r="L71" s="93"/>
      <c r="M71" s="93"/>
      <c r="N71" s="96"/>
      <c r="O71" s="96"/>
    </row>
    <row r="72" spans="1:15" s="91" customFormat="1" x14ac:dyDescent="0.2">
      <c r="A72" s="93"/>
      <c r="B72" s="93"/>
      <c r="C72" s="93"/>
      <c r="D72" s="93"/>
      <c r="E72" s="93"/>
      <c r="F72" s="93"/>
      <c r="G72" s="93"/>
      <c r="H72" s="93"/>
      <c r="I72" s="93"/>
      <c r="J72" s="93"/>
      <c r="K72" s="93"/>
      <c r="L72" s="93"/>
      <c r="M72" s="93"/>
      <c r="N72" s="96"/>
      <c r="O72" s="96"/>
    </row>
    <row r="73" spans="1:15" s="91" customFormat="1" x14ac:dyDescent="0.2">
      <c r="A73" s="93"/>
      <c r="B73" s="93"/>
      <c r="C73" s="93"/>
      <c r="D73" s="93"/>
      <c r="E73" s="93"/>
      <c r="F73" s="93"/>
      <c r="G73" s="93"/>
      <c r="H73" s="93"/>
      <c r="I73" s="93"/>
      <c r="J73" s="93"/>
      <c r="K73" s="93"/>
      <c r="L73" s="93"/>
      <c r="M73" s="93"/>
      <c r="N73" s="96"/>
      <c r="O73" s="96"/>
    </row>
    <row r="74" spans="1:15" s="91" customFormat="1" x14ac:dyDescent="0.2">
      <c r="A74" s="93"/>
      <c r="B74" s="93"/>
      <c r="C74" s="93"/>
      <c r="D74" s="93"/>
      <c r="E74" s="93"/>
      <c r="F74" s="93"/>
      <c r="G74" s="93"/>
      <c r="H74" s="93"/>
      <c r="I74" s="93"/>
      <c r="J74" s="93"/>
      <c r="K74" s="93"/>
      <c r="L74" s="93"/>
      <c r="M74" s="93"/>
      <c r="N74" s="96"/>
      <c r="O74" s="96"/>
    </row>
    <row r="75" spans="1:15" s="91" customFormat="1" x14ac:dyDescent="0.2">
      <c r="A75" s="93"/>
      <c r="B75" s="93"/>
      <c r="C75" s="93"/>
      <c r="D75" s="93"/>
      <c r="E75" s="93"/>
      <c r="F75" s="93"/>
      <c r="G75" s="93"/>
      <c r="H75" s="93"/>
      <c r="I75" s="93"/>
      <c r="J75" s="93"/>
      <c r="K75" s="93"/>
      <c r="L75" s="93"/>
      <c r="M75" s="93"/>
      <c r="N75" s="96"/>
      <c r="O75" s="96"/>
    </row>
    <row r="76" spans="1:15" s="91" customFormat="1" x14ac:dyDescent="0.2">
      <c r="A76" s="93"/>
      <c r="B76" s="93"/>
      <c r="C76" s="93"/>
      <c r="D76" s="93"/>
      <c r="E76" s="93"/>
      <c r="F76" s="93"/>
      <c r="G76" s="93"/>
      <c r="H76" s="93"/>
      <c r="I76" s="93"/>
      <c r="J76" s="93"/>
      <c r="K76" s="93"/>
      <c r="L76" s="93"/>
      <c r="M76" s="93"/>
      <c r="N76" s="96"/>
      <c r="O76" s="96"/>
    </row>
    <row r="77" spans="1:15" s="91" customFormat="1" x14ac:dyDescent="0.2">
      <c r="A77" s="93"/>
      <c r="B77" s="93"/>
      <c r="C77" s="93"/>
      <c r="D77" s="93"/>
      <c r="E77" s="93"/>
      <c r="F77" s="93"/>
      <c r="G77" s="93"/>
      <c r="H77" s="93"/>
      <c r="I77" s="93"/>
      <c r="J77" s="93"/>
      <c r="K77" s="93"/>
      <c r="L77" s="93"/>
      <c r="M77" s="93"/>
      <c r="N77" s="96"/>
      <c r="O77" s="96"/>
    </row>
    <row r="78" spans="1:15" s="91" customFormat="1" x14ac:dyDescent="0.2">
      <c r="A78" s="93"/>
      <c r="B78" s="93"/>
      <c r="C78" s="93"/>
      <c r="D78" s="93"/>
      <c r="E78" s="93"/>
      <c r="F78" s="93"/>
      <c r="G78" s="93"/>
      <c r="H78" s="93"/>
      <c r="I78" s="93"/>
      <c r="J78" s="93"/>
      <c r="K78" s="93"/>
      <c r="L78" s="93"/>
      <c r="M78" s="93"/>
      <c r="N78" s="96"/>
      <c r="O78" s="96"/>
    </row>
    <row r="79" spans="1:15" s="91" customFormat="1" x14ac:dyDescent="0.2">
      <c r="A79" s="93"/>
      <c r="B79" s="93"/>
      <c r="C79" s="93"/>
      <c r="D79" s="93"/>
      <c r="E79" s="93"/>
      <c r="F79" s="93"/>
      <c r="G79" s="93"/>
      <c r="H79" s="93"/>
      <c r="I79" s="93"/>
      <c r="J79" s="93"/>
      <c r="K79" s="93"/>
      <c r="L79" s="93"/>
      <c r="M79" s="93"/>
      <c r="N79" s="96"/>
      <c r="O79" s="96"/>
    </row>
    <row r="80" spans="1:15" s="91" customFormat="1" x14ac:dyDescent="0.2">
      <c r="A80" s="93"/>
      <c r="B80" s="93"/>
      <c r="C80" s="93"/>
      <c r="D80" s="93"/>
      <c r="E80" s="93"/>
      <c r="F80" s="93"/>
      <c r="G80" s="93"/>
      <c r="H80" s="93"/>
      <c r="I80" s="93"/>
      <c r="J80" s="93"/>
      <c r="K80" s="93"/>
      <c r="L80" s="93"/>
      <c r="M80" s="93"/>
      <c r="N80" s="96"/>
      <c r="O80" s="96"/>
    </row>
    <row r="81" spans="1:15" s="91" customFormat="1" x14ac:dyDescent="0.2">
      <c r="A81" s="93"/>
      <c r="B81" s="93"/>
      <c r="C81" s="93"/>
      <c r="D81" s="93"/>
      <c r="E81" s="93"/>
      <c r="F81" s="93"/>
      <c r="G81" s="93"/>
      <c r="H81" s="93"/>
      <c r="I81" s="93"/>
      <c r="J81" s="93"/>
      <c r="K81" s="93"/>
      <c r="L81" s="93"/>
      <c r="M81" s="93"/>
      <c r="N81" s="96"/>
      <c r="O81" s="96"/>
    </row>
    <row r="82" spans="1:15" s="91" customFormat="1" x14ac:dyDescent="0.2">
      <c r="A82" s="93"/>
      <c r="B82" s="93"/>
      <c r="C82" s="93"/>
      <c r="D82" s="93"/>
      <c r="E82" s="93"/>
      <c r="F82" s="93"/>
      <c r="G82" s="93"/>
      <c r="H82" s="93"/>
      <c r="I82" s="93"/>
      <c r="J82" s="93"/>
      <c r="K82" s="93"/>
      <c r="L82" s="93"/>
      <c r="M82" s="93"/>
      <c r="N82" s="96"/>
      <c r="O82" s="96"/>
    </row>
    <row r="83" spans="1:15" s="91" customFormat="1" x14ac:dyDescent="0.2">
      <c r="A83" s="93"/>
      <c r="B83" s="93"/>
      <c r="C83" s="93"/>
      <c r="D83" s="93"/>
      <c r="E83" s="93"/>
      <c r="F83" s="93"/>
      <c r="G83" s="93"/>
      <c r="H83" s="93"/>
      <c r="I83" s="93"/>
      <c r="J83" s="93"/>
      <c r="K83" s="93"/>
      <c r="L83" s="93"/>
      <c r="M83" s="93"/>
      <c r="N83" s="96"/>
      <c r="O83" s="96"/>
    </row>
    <row r="84" spans="1:15" s="69" customFormat="1" x14ac:dyDescent="0.2">
      <c r="A84" s="84"/>
      <c r="B84" s="84"/>
      <c r="C84" s="84"/>
      <c r="D84" s="84"/>
      <c r="E84" s="84"/>
      <c r="F84" s="84"/>
      <c r="G84" s="84"/>
      <c r="H84" s="84"/>
      <c r="I84" s="84"/>
      <c r="J84" s="84"/>
      <c r="K84" s="84"/>
      <c r="L84" s="84"/>
      <c r="M84" s="84"/>
      <c r="N84" s="97"/>
      <c r="O84" s="97"/>
    </row>
    <row r="85" spans="1:15" s="69" customFormat="1" x14ac:dyDescent="0.2">
      <c r="A85" s="84"/>
      <c r="B85" s="84"/>
      <c r="C85" s="84"/>
      <c r="D85" s="84"/>
      <c r="E85" s="84"/>
      <c r="F85" s="84"/>
      <c r="G85" s="84"/>
      <c r="H85" s="84"/>
      <c r="I85" s="84"/>
      <c r="J85" s="84"/>
      <c r="K85" s="84"/>
      <c r="L85" s="84"/>
      <c r="M85" s="84"/>
      <c r="N85" s="88"/>
      <c r="O85" s="88"/>
    </row>
    <row r="86" spans="1:15" s="69" customFormat="1" x14ac:dyDescent="0.2">
      <c r="A86" s="84"/>
      <c r="B86" s="84"/>
      <c r="C86" s="84"/>
      <c r="D86" s="84"/>
      <c r="E86" s="84"/>
      <c r="F86" s="84"/>
      <c r="G86" s="84"/>
      <c r="H86" s="84"/>
      <c r="I86" s="84"/>
      <c r="J86" s="84"/>
      <c r="K86" s="84"/>
      <c r="L86" s="84"/>
      <c r="M86" s="84"/>
      <c r="N86" s="88"/>
      <c r="O86" s="88"/>
    </row>
    <row r="87" spans="1:15" s="69" customFormat="1" x14ac:dyDescent="0.2">
      <c r="A87" s="84"/>
      <c r="B87" s="84"/>
      <c r="C87" s="84"/>
      <c r="D87" s="84"/>
      <c r="E87" s="84"/>
      <c r="F87" s="84"/>
      <c r="G87" s="84"/>
      <c r="H87" s="84"/>
      <c r="I87" s="84"/>
      <c r="J87" s="84"/>
      <c r="K87" s="84"/>
      <c r="L87" s="84"/>
      <c r="M87" s="84"/>
      <c r="N87" s="88"/>
      <c r="O87" s="88"/>
    </row>
    <row r="88" spans="1:15" s="69" customFormat="1" x14ac:dyDescent="0.2">
      <c r="A88" s="84"/>
      <c r="B88" s="84"/>
      <c r="C88" s="84"/>
      <c r="D88" s="84"/>
      <c r="E88" s="84"/>
      <c r="F88" s="84"/>
      <c r="G88" s="84"/>
      <c r="H88" s="84"/>
      <c r="I88" s="84"/>
      <c r="J88" s="84"/>
      <c r="K88" s="84"/>
      <c r="L88" s="84"/>
      <c r="M88" s="84"/>
      <c r="N88" s="88"/>
      <c r="O88" s="88"/>
    </row>
    <row r="89" spans="1:15" s="69" customFormat="1" x14ac:dyDescent="0.2">
      <c r="A89" s="84"/>
      <c r="B89" s="84"/>
      <c r="C89" s="84"/>
      <c r="D89" s="84"/>
      <c r="E89" s="84"/>
      <c r="F89" s="84"/>
      <c r="G89" s="84"/>
      <c r="H89" s="84"/>
      <c r="I89" s="84"/>
      <c r="J89" s="84"/>
      <c r="K89" s="84"/>
      <c r="L89" s="84"/>
      <c r="M89" s="84"/>
      <c r="N89" s="88"/>
      <c r="O89" s="88"/>
    </row>
    <row r="90" spans="1:15" s="69" customFormat="1" x14ac:dyDescent="0.2">
      <c r="A90" s="84"/>
      <c r="B90" s="84"/>
      <c r="C90" s="84"/>
      <c r="D90" s="84"/>
      <c r="E90" s="84"/>
      <c r="F90" s="84"/>
      <c r="G90" s="84"/>
      <c r="H90" s="84"/>
      <c r="I90" s="84"/>
      <c r="J90" s="84"/>
      <c r="K90" s="84"/>
      <c r="L90" s="84"/>
      <c r="M90" s="84"/>
      <c r="N90" s="88"/>
      <c r="O90" s="88"/>
    </row>
    <row r="91" spans="1:15" s="69" customFormat="1" x14ac:dyDescent="0.2">
      <c r="A91" s="84"/>
      <c r="B91" s="84"/>
      <c r="C91" s="84"/>
      <c r="D91" s="84"/>
      <c r="E91" s="84"/>
      <c r="F91" s="84"/>
      <c r="G91" s="84"/>
      <c r="H91" s="84"/>
      <c r="I91" s="84"/>
      <c r="J91" s="84"/>
      <c r="K91" s="84"/>
      <c r="L91" s="84"/>
      <c r="M91" s="84"/>
      <c r="N91" s="88"/>
      <c r="O91" s="88"/>
    </row>
    <row r="92" spans="1:15" s="69" customFormat="1" x14ac:dyDescent="0.2">
      <c r="A92" s="84"/>
      <c r="B92" s="84"/>
      <c r="C92" s="84"/>
      <c r="D92" s="84"/>
      <c r="E92" s="84"/>
      <c r="F92" s="84"/>
      <c r="G92" s="84"/>
      <c r="H92" s="84"/>
      <c r="I92" s="84"/>
      <c r="J92" s="84"/>
      <c r="K92" s="84"/>
      <c r="L92" s="84"/>
      <c r="M92" s="84"/>
      <c r="N92" s="88"/>
      <c r="O92" s="88"/>
    </row>
    <row r="93" spans="1:15" s="69" customFormat="1" x14ac:dyDescent="0.2">
      <c r="A93" s="84"/>
      <c r="B93" s="84"/>
      <c r="C93" s="84"/>
      <c r="D93" s="84"/>
      <c r="E93" s="84"/>
      <c r="F93" s="84"/>
      <c r="G93" s="84"/>
      <c r="H93" s="84"/>
      <c r="I93" s="84"/>
      <c r="J93" s="84"/>
      <c r="K93" s="84"/>
      <c r="L93" s="84"/>
      <c r="M93" s="84"/>
      <c r="N93" s="88"/>
      <c r="O93" s="88"/>
    </row>
    <row r="94" spans="1:15" s="69" customFormat="1" x14ac:dyDescent="0.2">
      <c r="A94" s="84"/>
      <c r="B94" s="84"/>
      <c r="C94" s="84"/>
      <c r="D94" s="84"/>
      <c r="E94" s="84"/>
      <c r="F94" s="84"/>
      <c r="G94" s="84"/>
      <c r="H94" s="84"/>
      <c r="I94" s="84"/>
      <c r="J94" s="84"/>
      <c r="K94" s="84"/>
      <c r="L94" s="84"/>
      <c r="M94" s="84"/>
      <c r="N94" s="88"/>
      <c r="O94" s="88"/>
    </row>
    <row r="95" spans="1:15" s="69" customFormat="1" x14ac:dyDescent="0.2">
      <c r="A95" s="84"/>
      <c r="B95" s="84"/>
      <c r="C95" s="84"/>
      <c r="D95" s="84"/>
      <c r="E95" s="84"/>
      <c r="F95" s="84"/>
      <c r="G95" s="84"/>
      <c r="H95" s="84"/>
      <c r="I95" s="84"/>
      <c r="J95" s="84"/>
      <c r="K95" s="84"/>
      <c r="L95" s="84"/>
      <c r="M95" s="84"/>
      <c r="N95" s="88"/>
      <c r="O95" s="88"/>
    </row>
    <row r="96" spans="1:15" s="69" customFormat="1" x14ac:dyDescent="0.2">
      <c r="A96" s="84"/>
      <c r="B96" s="84"/>
      <c r="C96" s="84"/>
      <c r="D96" s="84"/>
      <c r="E96" s="84"/>
      <c r="F96" s="84"/>
      <c r="G96" s="84"/>
      <c r="H96" s="84"/>
      <c r="I96" s="84"/>
      <c r="J96" s="84"/>
      <c r="K96" s="84"/>
      <c r="L96" s="84"/>
      <c r="M96" s="84"/>
      <c r="N96" s="88"/>
      <c r="O96" s="88"/>
    </row>
    <row r="97" spans="1:15" s="69" customFormat="1" x14ac:dyDescent="0.2">
      <c r="A97" s="84"/>
      <c r="B97" s="84"/>
      <c r="C97" s="84"/>
      <c r="D97" s="84"/>
      <c r="E97" s="84"/>
      <c r="F97" s="84"/>
      <c r="G97" s="84"/>
      <c r="H97" s="84"/>
      <c r="I97" s="84"/>
      <c r="J97" s="84"/>
      <c r="K97" s="84"/>
      <c r="L97" s="84"/>
      <c r="M97" s="84"/>
      <c r="N97" s="88"/>
      <c r="O97" s="88"/>
    </row>
    <row r="98" spans="1:15" s="69" customFormat="1" x14ac:dyDescent="0.2">
      <c r="A98" s="84"/>
      <c r="B98" s="84"/>
      <c r="C98" s="84"/>
      <c r="D98" s="84"/>
      <c r="E98" s="84"/>
      <c r="F98" s="84"/>
      <c r="G98" s="84"/>
      <c r="H98" s="84"/>
      <c r="I98" s="84"/>
      <c r="J98" s="84"/>
      <c r="K98" s="84"/>
      <c r="L98" s="84"/>
      <c r="M98" s="84"/>
      <c r="N98" s="88"/>
      <c r="O98" s="88"/>
    </row>
    <row r="99" spans="1:15" s="69" customFormat="1" x14ac:dyDescent="0.2">
      <c r="A99" s="84"/>
      <c r="B99" s="84"/>
      <c r="C99" s="84"/>
      <c r="D99" s="84"/>
      <c r="E99" s="84"/>
      <c r="F99" s="84"/>
      <c r="G99" s="84"/>
      <c r="H99" s="84"/>
      <c r="I99" s="84"/>
      <c r="J99" s="84"/>
      <c r="K99" s="84"/>
      <c r="L99" s="84"/>
      <c r="M99" s="84"/>
      <c r="N99" s="88"/>
      <c r="O99" s="88"/>
    </row>
    <row r="100" spans="1:15" s="69" customFormat="1" x14ac:dyDescent="0.2">
      <c r="A100" s="84"/>
      <c r="B100" s="84"/>
      <c r="C100" s="84"/>
      <c r="D100" s="84"/>
      <c r="E100" s="84"/>
      <c r="F100" s="84"/>
      <c r="G100" s="84"/>
      <c r="H100" s="84"/>
      <c r="I100" s="84"/>
      <c r="J100" s="84"/>
      <c r="K100" s="84"/>
      <c r="L100" s="84"/>
      <c r="M100" s="84"/>
      <c r="N100" s="88"/>
      <c r="O100" s="88"/>
    </row>
    <row r="101" spans="1:15" s="69" customFormat="1" x14ac:dyDescent="0.2">
      <c r="A101" s="84"/>
      <c r="B101" s="84"/>
      <c r="C101" s="84"/>
      <c r="D101" s="84"/>
      <c r="E101" s="84"/>
      <c r="F101" s="84"/>
      <c r="G101" s="84"/>
      <c r="H101" s="84"/>
      <c r="I101" s="84"/>
      <c r="J101" s="84"/>
      <c r="K101" s="84"/>
      <c r="L101" s="84"/>
      <c r="M101" s="84"/>
      <c r="N101" s="88"/>
      <c r="O101" s="88"/>
    </row>
    <row r="102" spans="1:15" s="69" customFormat="1" x14ac:dyDescent="0.2">
      <c r="A102" s="84"/>
      <c r="B102" s="84"/>
      <c r="C102" s="84"/>
      <c r="D102" s="84"/>
      <c r="E102" s="84"/>
      <c r="F102" s="84"/>
      <c r="G102" s="84"/>
      <c r="H102" s="84"/>
      <c r="I102" s="84"/>
      <c r="J102" s="84"/>
      <c r="K102" s="84"/>
      <c r="L102" s="84"/>
      <c r="M102" s="84"/>
      <c r="N102" s="88"/>
      <c r="O102" s="88"/>
    </row>
    <row r="103" spans="1:15" s="69" customFormat="1" x14ac:dyDescent="0.2">
      <c r="A103" s="84"/>
      <c r="B103" s="84"/>
      <c r="C103" s="84"/>
      <c r="D103" s="84"/>
      <c r="E103" s="84"/>
      <c r="F103" s="84"/>
      <c r="G103" s="84"/>
      <c r="H103" s="84"/>
      <c r="I103" s="84"/>
      <c r="J103" s="84"/>
      <c r="K103" s="84"/>
      <c r="L103" s="84"/>
      <c r="M103" s="84"/>
      <c r="N103" s="88"/>
      <c r="O103" s="88"/>
    </row>
    <row r="104" spans="1:15" s="69" customFormat="1" x14ac:dyDescent="0.2">
      <c r="A104" s="84"/>
      <c r="B104" s="84"/>
      <c r="C104" s="84"/>
      <c r="D104" s="84"/>
      <c r="E104" s="84"/>
      <c r="F104" s="84"/>
      <c r="G104" s="84"/>
      <c r="H104" s="84"/>
      <c r="I104" s="84"/>
      <c r="J104" s="84"/>
      <c r="K104" s="84"/>
      <c r="L104" s="84"/>
      <c r="M104" s="84"/>
      <c r="N104" s="88"/>
      <c r="O104" s="88"/>
    </row>
    <row r="105" spans="1:15" s="69" customFormat="1" x14ac:dyDescent="0.2">
      <c r="A105" s="84"/>
      <c r="B105" s="84"/>
      <c r="C105" s="84"/>
      <c r="D105" s="84"/>
      <c r="E105" s="84"/>
      <c r="F105" s="84"/>
      <c r="G105" s="84"/>
      <c r="H105" s="84"/>
      <c r="I105" s="84"/>
      <c r="J105" s="84"/>
      <c r="K105" s="84"/>
      <c r="L105" s="84"/>
      <c r="M105" s="84"/>
      <c r="N105" s="88"/>
      <c r="O105" s="88"/>
    </row>
    <row r="106" spans="1:15" s="69" customFormat="1" x14ac:dyDescent="0.2">
      <c r="A106" s="84"/>
      <c r="B106" s="84"/>
      <c r="C106" s="84"/>
      <c r="D106" s="84"/>
      <c r="E106" s="84"/>
      <c r="F106" s="84"/>
      <c r="G106" s="84"/>
      <c r="H106" s="84"/>
      <c r="I106" s="84"/>
      <c r="J106" s="84"/>
      <c r="K106" s="84"/>
      <c r="L106" s="84"/>
      <c r="M106" s="84"/>
      <c r="N106" s="88"/>
      <c r="O106" s="88"/>
    </row>
    <row r="107" spans="1:15" s="69" customFormat="1" x14ac:dyDescent="0.2">
      <c r="A107" s="84"/>
      <c r="B107" s="84"/>
      <c r="C107" s="84"/>
      <c r="D107" s="84"/>
      <c r="E107" s="84"/>
      <c r="F107" s="84"/>
      <c r="G107" s="84"/>
      <c r="H107" s="84"/>
      <c r="I107" s="84"/>
      <c r="J107" s="84"/>
      <c r="K107" s="84"/>
      <c r="L107" s="84"/>
      <c r="M107" s="84"/>
      <c r="N107" s="88"/>
      <c r="O107" s="88"/>
    </row>
    <row r="108" spans="1:15" s="69" customFormat="1" x14ac:dyDescent="0.2">
      <c r="A108" s="84"/>
      <c r="B108" s="84"/>
      <c r="C108" s="84"/>
      <c r="D108" s="84"/>
      <c r="E108" s="84"/>
      <c r="F108" s="84"/>
      <c r="G108" s="84"/>
      <c r="H108" s="84"/>
      <c r="I108" s="84"/>
      <c r="J108" s="84"/>
      <c r="K108" s="84"/>
      <c r="L108" s="84"/>
      <c r="M108" s="84"/>
      <c r="N108" s="88"/>
      <c r="O108" s="88"/>
    </row>
    <row r="109" spans="1:15" s="69" customFormat="1" x14ac:dyDescent="0.2">
      <c r="A109" s="84"/>
      <c r="B109" s="84"/>
      <c r="C109" s="84"/>
      <c r="D109" s="84"/>
      <c r="E109" s="84"/>
      <c r="F109" s="84"/>
      <c r="G109" s="84"/>
      <c r="H109" s="84"/>
      <c r="I109" s="84"/>
      <c r="J109" s="84"/>
      <c r="K109" s="84"/>
      <c r="L109" s="84"/>
      <c r="M109" s="84"/>
      <c r="N109" s="88"/>
      <c r="O109" s="88"/>
    </row>
    <row r="110" spans="1:15" s="69" customFormat="1" x14ac:dyDescent="0.2">
      <c r="A110" s="84"/>
      <c r="B110" s="84"/>
      <c r="C110" s="84"/>
      <c r="D110" s="84"/>
      <c r="E110" s="84"/>
      <c r="F110" s="84"/>
      <c r="G110" s="84"/>
      <c r="H110" s="84"/>
      <c r="I110" s="84"/>
      <c r="J110" s="84"/>
      <c r="K110" s="84"/>
      <c r="L110" s="84"/>
      <c r="M110" s="84"/>
      <c r="N110" s="88"/>
      <c r="O110" s="88"/>
    </row>
    <row r="111" spans="1:15" s="69" customFormat="1" x14ac:dyDescent="0.2">
      <c r="A111" s="84"/>
      <c r="B111" s="84"/>
      <c r="C111" s="84"/>
      <c r="D111" s="84"/>
      <c r="E111" s="84"/>
      <c r="F111" s="84"/>
      <c r="G111" s="84"/>
      <c r="H111" s="84"/>
      <c r="I111" s="84"/>
      <c r="J111" s="84"/>
      <c r="K111" s="84"/>
      <c r="L111" s="84"/>
      <c r="M111" s="84"/>
      <c r="N111" s="98"/>
      <c r="O111" s="98"/>
    </row>
    <row r="112" spans="1:15" s="69" customFormat="1" x14ac:dyDescent="0.2">
      <c r="A112" s="84"/>
      <c r="B112" s="84"/>
      <c r="C112" s="84"/>
      <c r="D112" s="84"/>
      <c r="E112" s="84"/>
      <c r="F112" s="84"/>
      <c r="G112" s="84"/>
      <c r="H112" s="84"/>
      <c r="I112" s="84"/>
      <c r="J112" s="84"/>
      <c r="K112" s="84"/>
      <c r="L112" s="84"/>
      <c r="M112" s="84"/>
      <c r="N112" s="98"/>
      <c r="O112" s="98"/>
    </row>
    <row r="113" spans="1:15" s="69" customFormat="1" x14ac:dyDescent="0.2">
      <c r="A113" s="84"/>
      <c r="B113" s="84"/>
      <c r="C113" s="84"/>
      <c r="D113" s="84"/>
      <c r="E113" s="84"/>
      <c r="F113" s="84"/>
      <c r="G113" s="84"/>
      <c r="H113" s="84"/>
      <c r="I113" s="84"/>
      <c r="J113" s="84"/>
      <c r="K113" s="84"/>
      <c r="L113" s="84"/>
      <c r="M113" s="84"/>
      <c r="N113" s="98"/>
      <c r="O113" s="98"/>
    </row>
    <row r="114" spans="1:15" s="69" customFormat="1" x14ac:dyDescent="0.2">
      <c r="A114" s="84"/>
      <c r="B114" s="84"/>
      <c r="C114" s="84"/>
      <c r="D114" s="84"/>
      <c r="E114" s="84"/>
      <c r="F114" s="84"/>
      <c r="G114" s="84"/>
      <c r="H114" s="84"/>
      <c r="I114" s="84"/>
      <c r="J114" s="84"/>
      <c r="K114" s="84"/>
      <c r="L114" s="84"/>
      <c r="M114" s="84"/>
      <c r="N114" s="98"/>
      <c r="O114" s="98"/>
    </row>
    <row r="115" spans="1:15" s="69" customFormat="1" x14ac:dyDescent="0.2">
      <c r="A115" s="84"/>
      <c r="B115" s="84"/>
      <c r="C115" s="84"/>
      <c r="D115" s="84"/>
      <c r="E115" s="84"/>
      <c r="F115" s="84"/>
      <c r="G115" s="84"/>
      <c r="H115" s="84"/>
      <c r="I115" s="84"/>
      <c r="J115" s="84"/>
      <c r="K115" s="84"/>
      <c r="L115" s="84"/>
      <c r="M115" s="84"/>
      <c r="N115" s="98"/>
      <c r="O115" s="98"/>
    </row>
    <row r="116" spans="1:15" s="69" customFormat="1" x14ac:dyDescent="0.2">
      <c r="A116" s="84"/>
      <c r="B116" s="84"/>
      <c r="C116" s="84"/>
      <c r="D116" s="84"/>
      <c r="E116" s="84"/>
      <c r="F116" s="84"/>
      <c r="G116" s="84"/>
      <c r="H116" s="84"/>
      <c r="I116" s="84"/>
      <c r="J116" s="84"/>
      <c r="K116" s="84"/>
      <c r="L116" s="84"/>
      <c r="M116" s="84"/>
      <c r="N116" s="98"/>
      <c r="O116" s="98"/>
    </row>
    <row r="117" spans="1:15" s="69" customFormat="1" x14ac:dyDescent="0.2">
      <c r="A117" s="84"/>
      <c r="B117" s="84"/>
      <c r="C117" s="84"/>
      <c r="D117" s="84"/>
      <c r="E117" s="84"/>
      <c r="F117" s="84"/>
      <c r="G117" s="84"/>
      <c r="H117" s="84"/>
      <c r="I117" s="84"/>
      <c r="J117" s="84"/>
      <c r="K117" s="84"/>
      <c r="L117" s="84"/>
      <c r="M117" s="84"/>
      <c r="N117" s="98"/>
      <c r="O117" s="98"/>
    </row>
    <row r="118" spans="1:15" s="69" customFormat="1" x14ac:dyDescent="0.2">
      <c r="A118" s="84"/>
      <c r="B118" s="84"/>
      <c r="C118" s="84"/>
      <c r="D118" s="84"/>
      <c r="E118" s="84"/>
      <c r="F118" s="84"/>
      <c r="G118" s="84"/>
      <c r="H118" s="84"/>
      <c r="I118" s="84"/>
      <c r="J118" s="84"/>
      <c r="K118" s="84"/>
      <c r="L118" s="84"/>
      <c r="M118" s="84"/>
      <c r="N118" s="98"/>
      <c r="O118" s="98"/>
    </row>
    <row r="119" spans="1:15" s="69" customFormat="1" x14ac:dyDescent="0.2">
      <c r="A119" s="84"/>
      <c r="B119" s="84"/>
      <c r="C119" s="84"/>
      <c r="D119" s="84"/>
      <c r="E119" s="84"/>
      <c r="F119" s="84"/>
      <c r="G119" s="84"/>
      <c r="H119" s="84"/>
      <c r="I119" s="84"/>
      <c r="J119" s="84"/>
      <c r="K119" s="84"/>
      <c r="L119" s="84"/>
      <c r="M119" s="84"/>
      <c r="N119" s="98"/>
      <c r="O119" s="98"/>
    </row>
    <row r="120" spans="1:15" s="69" customFormat="1" x14ac:dyDescent="0.2">
      <c r="A120" s="84"/>
      <c r="B120" s="84"/>
      <c r="C120" s="84"/>
      <c r="D120" s="84"/>
      <c r="E120" s="84"/>
      <c r="F120" s="84"/>
      <c r="G120" s="84"/>
      <c r="H120" s="84"/>
      <c r="I120" s="84"/>
      <c r="J120" s="84"/>
      <c r="K120" s="84"/>
      <c r="L120" s="84"/>
      <c r="M120" s="84"/>
      <c r="N120" s="98"/>
      <c r="O120" s="98"/>
    </row>
    <row r="121" spans="1:15" s="69" customFormat="1" x14ac:dyDescent="0.2">
      <c r="A121" s="84"/>
      <c r="B121" s="84"/>
      <c r="C121" s="84"/>
      <c r="D121" s="84"/>
      <c r="E121" s="84"/>
      <c r="F121" s="84"/>
      <c r="G121" s="84"/>
      <c r="H121" s="84"/>
      <c r="I121" s="84"/>
      <c r="J121" s="84"/>
      <c r="K121" s="84"/>
      <c r="L121" s="84"/>
      <c r="M121" s="84"/>
      <c r="N121" s="98"/>
      <c r="O121" s="98"/>
    </row>
    <row r="122" spans="1:15" s="69" customFormat="1" x14ac:dyDescent="0.2">
      <c r="A122" s="84"/>
      <c r="B122" s="84"/>
      <c r="C122" s="84"/>
      <c r="D122" s="84"/>
      <c r="E122" s="84"/>
      <c r="F122" s="84"/>
      <c r="G122" s="84"/>
      <c r="H122" s="84"/>
      <c r="I122" s="84"/>
      <c r="J122" s="84"/>
      <c r="K122" s="84"/>
      <c r="L122" s="84"/>
      <c r="M122" s="84"/>
      <c r="N122" s="98"/>
      <c r="O122" s="98"/>
    </row>
    <row r="123" spans="1:15" s="69" customFormat="1" x14ac:dyDescent="0.2">
      <c r="A123" s="84"/>
      <c r="B123" s="84"/>
      <c r="C123" s="84"/>
      <c r="D123" s="84"/>
      <c r="E123" s="84"/>
      <c r="F123" s="84"/>
      <c r="G123" s="84"/>
      <c r="H123" s="84"/>
      <c r="I123" s="84"/>
      <c r="J123" s="84"/>
      <c r="K123" s="84"/>
      <c r="L123" s="84"/>
      <c r="M123" s="84"/>
      <c r="N123" s="98"/>
      <c r="O123" s="98"/>
    </row>
    <row r="124" spans="1:15" s="69" customFormat="1" x14ac:dyDescent="0.2">
      <c r="A124" s="84"/>
      <c r="B124" s="84"/>
      <c r="C124" s="84"/>
      <c r="D124" s="84"/>
      <c r="E124" s="84"/>
      <c r="F124" s="84"/>
      <c r="G124" s="84"/>
      <c r="H124" s="84"/>
      <c r="I124" s="84"/>
      <c r="J124" s="84"/>
      <c r="K124" s="84"/>
      <c r="L124" s="84"/>
      <c r="M124" s="84"/>
      <c r="N124" s="98"/>
      <c r="O124" s="98"/>
    </row>
    <row r="125" spans="1:15" s="69" customFormat="1" x14ac:dyDescent="0.2">
      <c r="A125" s="84"/>
      <c r="B125" s="84"/>
      <c r="C125" s="84"/>
      <c r="D125" s="84"/>
      <c r="E125" s="84"/>
      <c r="F125" s="84"/>
      <c r="G125" s="84"/>
      <c r="H125" s="84"/>
      <c r="I125" s="84"/>
      <c r="J125" s="84"/>
      <c r="K125" s="84"/>
      <c r="L125" s="84"/>
      <c r="M125" s="84"/>
      <c r="N125" s="98"/>
      <c r="O125" s="98"/>
    </row>
    <row r="126" spans="1:15" s="69" customFormat="1" x14ac:dyDescent="0.2">
      <c r="A126" s="84"/>
      <c r="B126" s="84"/>
      <c r="C126" s="84"/>
      <c r="D126" s="84"/>
      <c r="E126" s="84"/>
      <c r="F126" s="84"/>
      <c r="G126" s="84"/>
      <c r="H126" s="84"/>
      <c r="I126" s="84"/>
      <c r="J126" s="84"/>
      <c r="K126" s="84"/>
      <c r="L126" s="84"/>
      <c r="M126" s="84"/>
      <c r="N126" s="98"/>
      <c r="O126" s="98"/>
    </row>
    <row r="127" spans="1:15" s="69" customFormat="1" x14ac:dyDescent="0.2">
      <c r="A127" s="84"/>
      <c r="B127" s="84"/>
      <c r="C127" s="84"/>
      <c r="D127" s="84"/>
      <c r="E127" s="84"/>
      <c r="F127" s="84"/>
      <c r="G127" s="84"/>
      <c r="H127" s="84"/>
      <c r="I127" s="84"/>
      <c r="J127" s="84"/>
      <c r="K127" s="84"/>
      <c r="L127" s="84"/>
      <c r="M127" s="84"/>
      <c r="N127" s="98"/>
      <c r="O127" s="98"/>
    </row>
    <row r="128" spans="1:15" s="69" customFormat="1" x14ac:dyDescent="0.2">
      <c r="A128" s="84"/>
      <c r="B128" s="84"/>
      <c r="C128" s="84"/>
      <c r="D128" s="84"/>
      <c r="E128" s="84"/>
      <c r="F128" s="84"/>
      <c r="G128" s="84"/>
      <c r="H128" s="84"/>
      <c r="I128" s="84"/>
      <c r="J128" s="84"/>
      <c r="K128" s="84"/>
      <c r="L128" s="84"/>
      <c r="M128" s="84"/>
      <c r="N128" s="98"/>
      <c r="O128" s="98"/>
    </row>
    <row r="129" spans="1:15" s="69" customFormat="1" x14ac:dyDescent="0.2">
      <c r="A129" s="84"/>
      <c r="B129" s="84"/>
      <c r="C129" s="84"/>
      <c r="D129" s="84"/>
      <c r="E129" s="84"/>
      <c r="F129" s="84"/>
      <c r="G129" s="84"/>
      <c r="H129" s="84"/>
      <c r="I129" s="84"/>
      <c r="J129" s="84"/>
      <c r="K129" s="84"/>
      <c r="L129" s="84"/>
      <c r="M129" s="84"/>
      <c r="N129" s="98"/>
      <c r="O129" s="98"/>
    </row>
    <row r="130" spans="1:15" s="69" customFormat="1" x14ac:dyDescent="0.2">
      <c r="A130" s="84"/>
      <c r="B130" s="84"/>
      <c r="C130" s="84"/>
      <c r="D130" s="84"/>
      <c r="E130" s="84"/>
      <c r="F130" s="84"/>
      <c r="G130" s="84"/>
      <c r="H130" s="84"/>
      <c r="I130" s="84"/>
      <c r="J130" s="84"/>
      <c r="K130" s="84"/>
      <c r="L130" s="84"/>
      <c r="M130" s="84"/>
      <c r="N130" s="98"/>
      <c r="O130" s="98"/>
    </row>
    <row r="131" spans="1:15" s="69" customFormat="1" x14ac:dyDescent="0.2">
      <c r="A131" s="84"/>
      <c r="B131" s="84"/>
      <c r="C131" s="84"/>
      <c r="D131" s="84"/>
      <c r="E131" s="84"/>
      <c r="F131" s="84"/>
      <c r="G131" s="84"/>
      <c r="H131" s="84"/>
      <c r="I131" s="84"/>
      <c r="J131" s="84"/>
      <c r="K131" s="84"/>
      <c r="L131" s="84"/>
      <c r="M131" s="84"/>
      <c r="N131" s="98"/>
      <c r="O131" s="98"/>
    </row>
    <row r="132" spans="1:15" s="69" customFormat="1" x14ac:dyDescent="0.2">
      <c r="A132" s="84"/>
      <c r="B132" s="84"/>
      <c r="C132" s="84"/>
      <c r="D132" s="84"/>
      <c r="E132" s="84"/>
      <c r="F132" s="84"/>
      <c r="G132" s="84"/>
      <c r="H132" s="84"/>
      <c r="I132" s="84"/>
      <c r="J132" s="84"/>
      <c r="K132" s="84"/>
      <c r="L132" s="84"/>
      <c r="M132" s="84"/>
      <c r="N132" s="98"/>
      <c r="O132" s="98"/>
    </row>
    <row r="133" spans="1:15" s="69" customFormat="1" x14ac:dyDescent="0.2">
      <c r="A133" s="84"/>
      <c r="B133" s="84"/>
      <c r="C133" s="84"/>
      <c r="D133" s="84"/>
      <c r="E133" s="84"/>
      <c r="F133" s="84"/>
      <c r="G133" s="84"/>
      <c r="H133" s="84"/>
      <c r="I133" s="84"/>
      <c r="J133" s="84"/>
      <c r="K133" s="84"/>
      <c r="L133" s="84"/>
      <c r="M133" s="84"/>
      <c r="N133" s="98"/>
      <c r="O133" s="98"/>
    </row>
    <row r="134" spans="1:15" s="69" customFormat="1" x14ac:dyDescent="0.2">
      <c r="A134" s="84"/>
      <c r="B134" s="84"/>
      <c r="C134" s="84"/>
      <c r="D134" s="84"/>
      <c r="E134" s="84"/>
      <c r="F134" s="84"/>
      <c r="G134" s="84"/>
      <c r="H134" s="84"/>
      <c r="I134" s="84"/>
      <c r="J134" s="84"/>
      <c r="K134" s="84"/>
      <c r="L134" s="84"/>
      <c r="M134" s="84"/>
      <c r="N134" s="98"/>
      <c r="O134" s="98"/>
    </row>
    <row r="135" spans="1:15" s="69" customFormat="1" x14ac:dyDescent="0.2">
      <c r="A135" s="84"/>
      <c r="B135" s="84"/>
      <c r="C135" s="84"/>
      <c r="D135" s="84"/>
      <c r="E135" s="84"/>
      <c r="F135" s="84"/>
      <c r="G135" s="84"/>
      <c r="H135" s="84"/>
      <c r="I135" s="84"/>
      <c r="J135" s="84"/>
      <c r="K135" s="84"/>
      <c r="L135" s="84"/>
      <c r="M135" s="84"/>
      <c r="N135" s="98"/>
      <c r="O135" s="98"/>
    </row>
    <row r="136" spans="1:15" s="69" customFormat="1" x14ac:dyDescent="0.2">
      <c r="A136" s="84"/>
      <c r="B136" s="84"/>
      <c r="C136" s="84"/>
      <c r="D136" s="84"/>
      <c r="E136" s="84"/>
      <c r="F136" s="84"/>
      <c r="G136" s="84"/>
      <c r="H136" s="84"/>
      <c r="I136" s="84"/>
      <c r="J136" s="84"/>
      <c r="K136" s="84"/>
      <c r="L136" s="84"/>
      <c r="M136" s="84"/>
      <c r="N136" s="98"/>
      <c r="O136" s="98"/>
    </row>
    <row r="137" spans="1:15" s="69" customFormat="1" x14ac:dyDescent="0.2">
      <c r="A137" s="84"/>
      <c r="B137" s="84"/>
      <c r="C137" s="84"/>
      <c r="D137" s="84"/>
      <c r="E137" s="84"/>
      <c r="F137" s="84"/>
      <c r="G137" s="84"/>
      <c r="H137" s="84"/>
      <c r="I137" s="84"/>
      <c r="J137" s="84"/>
      <c r="K137" s="84"/>
      <c r="L137" s="84"/>
      <c r="M137" s="84"/>
      <c r="N137" s="98"/>
      <c r="O137" s="98"/>
    </row>
    <row r="138" spans="1:15" s="69" customFormat="1" x14ac:dyDescent="0.2">
      <c r="A138" s="84"/>
      <c r="B138" s="84"/>
      <c r="C138" s="84"/>
      <c r="D138" s="84"/>
      <c r="E138" s="84"/>
      <c r="F138" s="84"/>
      <c r="G138" s="84"/>
      <c r="H138" s="84"/>
      <c r="I138" s="84"/>
      <c r="J138" s="84"/>
      <c r="K138" s="84"/>
      <c r="L138" s="84"/>
      <c r="M138" s="84"/>
      <c r="N138" s="98"/>
      <c r="O138" s="98"/>
    </row>
    <row r="139" spans="1:15" s="69" customFormat="1" x14ac:dyDescent="0.2">
      <c r="A139" s="84"/>
      <c r="B139" s="84"/>
      <c r="C139" s="84"/>
      <c r="D139" s="84"/>
      <c r="E139" s="84"/>
      <c r="F139" s="84"/>
      <c r="G139" s="84"/>
      <c r="H139" s="84"/>
      <c r="I139" s="84"/>
      <c r="J139" s="84"/>
      <c r="K139" s="84"/>
      <c r="L139" s="84"/>
      <c r="M139" s="84"/>
      <c r="N139" s="98"/>
      <c r="O139" s="98"/>
    </row>
    <row r="140" spans="1:15" s="69" customFormat="1" x14ac:dyDescent="0.2">
      <c r="A140" s="84"/>
      <c r="B140" s="84"/>
      <c r="C140" s="84"/>
      <c r="D140" s="84"/>
      <c r="E140" s="84"/>
      <c r="F140" s="84"/>
      <c r="G140" s="84"/>
      <c r="H140" s="84"/>
      <c r="I140" s="84"/>
      <c r="J140" s="84"/>
      <c r="K140" s="84"/>
      <c r="L140" s="84"/>
      <c r="M140" s="84"/>
      <c r="N140" s="98"/>
      <c r="O140" s="98"/>
    </row>
    <row r="141" spans="1:15" s="69" customFormat="1" x14ac:dyDescent="0.2">
      <c r="A141" s="84"/>
      <c r="B141" s="84"/>
      <c r="C141" s="84"/>
      <c r="D141" s="84"/>
      <c r="E141" s="84"/>
      <c r="F141" s="84"/>
      <c r="G141" s="84"/>
      <c r="H141" s="84"/>
      <c r="I141" s="84"/>
      <c r="J141" s="84"/>
      <c r="K141" s="84"/>
      <c r="L141" s="84"/>
      <c r="M141" s="84"/>
      <c r="N141" s="98"/>
      <c r="O141" s="98"/>
    </row>
    <row r="142" spans="1:15" s="69" customFormat="1" x14ac:dyDescent="0.2">
      <c r="A142" s="84"/>
      <c r="B142" s="84"/>
      <c r="C142" s="84"/>
      <c r="D142" s="84"/>
      <c r="E142" s="84"/>
      <c r="F142" s="84"/>
      <c r="G142" s="84"/>
      <c r="H142" s="84"/>
      <c r="I142" s="84"/>
      <c r="J142" s="84"/>
      <c r="K142" s="84"/>
      <c r="L142" s="84"/>
      <c r="M142" s="84"/>
      <c r="N142" s="98"/>
      <c r="O142" s="98"/>
    </row>
    <row r="143" spans="1:15" s="69" customFormat="1" x14ac:dyDescent="0.2">
      <c r="A143" s="84"/>
      <c r="B143" s="84"/>
      <c r="C143" s="84"/>
      <c r="D143" s="84"/>
      <c r="E143" s="84"/>
      <c r="F143" s="84"/>
      <c r="G143" s="84"/>
      <c r="H143" s="84"/>
      <c r="I143" s="84"/>
      <c r="J143" s="84"/>
      <c r="K143" s="84"/>
      <c r="L143" s="84"/>
      <c r="M143" s="84"/>
      <c r="N143" s="98"/>
      <c r="O143" s="98"/>
    </row>
    <row r="144" spans="1:15" s="69" customFormat="1" x14ac:dyDescent="0.2">
      <c r="A144" s="84"/>
      <c r="B144" s="84"/>
      <c r="C144" s="84"/>
      <c r="D144" s="84"/>
      <c r="E144" s="84"/>
      <c r="F144" s="84"/>
      <c r="G144" s="84"/>
      <c r="H144" s="84"/>
      <c r="I144" s="84"/>
      <c r="J144" s="84"/>
      <c r="K144" s="84"/>
      <c r="L144" s="84"/>
      <c r="M144" s="84"/>
      <c r="N144" s="98"/>
      <c r="O144" s="98"/>
    </row>
    <row r="145" spans="1:15" s="69" customFormat="1" x14ac:dyDescent="0.2">
      <c r="A145" s="84"/>
      <c r="B145" s="84"/>
      <c r="C145" s="84"/>
      <c r="D145" s="84"/>
      <c r="E145" s="84"/>
      <c r="F145" s="84"/>
      <c r="G145" s="84"/>
      <c r="H145" s="84"/>
      <c r="I145" s="84"/>
      <c r="J145" s="84"/>
      <c r="K145" s="84"/>
      <c r="L145" s="84"/>
      <c r="M145" s="84"/>
      <c r="N145" s="98"/>
      <c r="O145" s="98"/>
    </row>
    <row r="146" spans="1:15" s="69" customFormat="1" x14ac:dyDescent="0.2">
      <c r="A146" s="84"/>
      <c r="B146" s="84"/>
      <c r="C146" s="84"/>
      <c r="D146" s="84"/>
      <c r="E146" s="84"/>
      <c r="F146" s="84"/>
      <c r="G146" s="84"/>
      <c r="H146" s="84"/>
      <c r="I146" s="84"/>
      <c r="J146" s="84"/>
      <c r="K146" s="84"/>
      <c r="L146" s="84"/>
      <c r="M146" s="84"/>
      <c r="N146" s="98"/>
      <c r="O146" s="98"/>
    </row>
    <row r="147" spans="1:15" s="69" customFormat="1" x14ac:dyDescent="0.2">
      <c r="A147" s="84"/>
      <c r="B147" s="84"/>
      <c r="C147" s="84"/>
      <c r="D147" s="84"/>
      <c r="E147" s="84"/>
      <c r="F147" s="84"/>
      <c r="G147" s="84"/>
      <c r="H147" s="84"/>
      <c r="I147" s="84"/>
      <c r="J147" s="84"/>
      <c r="K147" s="84"/>
      <c r="L147" s="84"/>
      <c r="M147" s="84"/>
      <c r="N147" s="98"/>
      <c r="O147" s="98"/>
    </row>
    <row r="148" spans="1:15" s="69" customFormat="1" x14ac:dyDescent="0.2">
      <c r="A148" s="84"/>
      <c r="B148" s="84"/>
      <c r="C148" s="84"/>
      <c r="D148" s="84"/>
      <c r="E148" s="84"/>
      <c r="F148" s="84"/>
      <c r="G148" s="84"/>
      <c r="H148" s="84"/>
      <c r="I148" s="84"/>
      <c r="J148" s="84"/>
      <c r="K148" s="84"/>
      <c r="L148" s="84"/>
      <c r="M148" s="84"/>
      <c r="N148" s="98"/>
      <c r="O148" s="98"/>
    </row>
    <row r="149" spans="1:15" s="69" customFormat="1" x14ac:dyDescent="0.2">
      <c r="A149" s="84"/>
      <c r="B149" s="84"/>
      <c r="C149" s="84"/>
      <c r="D149" s="84"/>
      <c r="E149" s="84"/>
      <c r="F149" s="84"/>
      <c r="G149" s="84"/>
      <c r="H149" s="84"/>
      <c r="I149" s="84"/>
      <c r="J149" s="84"/>
      <c r="K149" s="84"/>
      <c r="L149" s="84"/>
      <c r="M149" s="84"/>
      <c r="N149" s="98"/>
      <c r="O149" s="98"/>
    </row>
    <row r="150" spans="1:15" s="69" customFormat="1" x14ac:dyDescent="0.2">
      <c r="A150" s="84"/>
      <c r="B150" s="84"/>
      <c r="C150" s="84"/>
      <c r="D150" s="84"/>
      <c r="E150" s="84"/>
      <c r="F150" s="84"/>
      <c r="G150" s="84"/>
      <c r="H150" s="84"/>
      <c r="I150" s="84"/>
      <c r="J150" s="84"/>
      <c r="K150" s="84"/>
      <c r="L150" s="84"/>
      <c r="M150" s="84"/>
      <c r="N150" s="98"/>
      <c r="O150" s="98"/>
    </row>
    <row r="151" spans="1:15" s="69" customFormat="1" x14ac:dyDescent="0.2">
      <c r="A151" s="84"/>
      <c r="B151" s="84"/>
      <c r="C151" s="84"/>
      <c r="D151" s="84"/>
      <c r="E151" s="84"/>
      <c r="F151" s="84"/>
      <c r="G151" s="84"/>
      <c r="H151" s="84"/>
      <c r="I151" s="84"/>
      <c r="J151" s="84"/>
      <c r="K151" s="84"/>
      <c r="L151" s="84"/>
      <c r="M151" s="84"/>
      <c r="N151" s="98"/>
      <c r="O151" s="98"/>
    </row>
    <row r="152" spans="1:15" s="69" customFormat="1" x14ac:dyDescent="0.2">
      <c r="A152" s="84"/>
      <c r="B152" s="84"/>
      <c r="C152" s="84"/>
      <c r="D152" s="84"/>
      <c r="E152" s="84"/>
      <c r="F152" s="84"/>
      <c r="G152" s="84"/>
      <c r="H152" s="84"/>
      <c r="I152" s="84"/>
      <c r="J152" s="84"/>
      <c r="K152" s="84"/>
      <c r="L152" s="84"/>
      <c r="M152" s="84"/>
      <c r="N152" s="98"/>
      <c r="O152" s="98"/>
    </row>
    <row r="153" spans="1:15" s="69" customFormat="1" x14ac:dyDescent="0.2">
      <c r="A153" s="84"/>
      <c r="B153" s="84"/>
      <c r="C153" s="84"/>
      <c r="D153" s="84"/>
      <c r="E153" s="84"/>
      <c r="F153" s="84"/>
      <c r="G153" s="84"/>
      <c r="H153" s="84"/>
      <c r="I153" s="84"/>
      <c r="J153" s="84"/>
      <c r="K153" s="84"/>
      <c r="L153" s="84"/>
      <c r="M153" s="84"/>
      <c r="N153" s="98"/>
      <c r="O153" s="98"/>
    </row>
    <row r="154" spans="1:15" s="69" customFormat="1" x14ac:dyDescent="0.2">
      <c r="A154" s="84"/>
      <c r="B154" s="84"/>
      <c r="C154" s="84"/>
      <c r="D154" s="84"/>
      <c r="E154" s="84"/>
      <c r="F154" s="84"/>
      <c r="G154" s="84"/>
      <c r="H154" s="84"/>
      <c r="I154" s="84"/>
      <c r="J154" s="84"/>
      <c r="K154" s="84"/>
      <c r="L154" s="84"/>
      <c r="M154" s="84"/>
      <c r="N154" s="98"/>
      <c r="O154" s="98"/>
    </row>
    <row r="155" spans="1:15" s="69" customFormat="1" x14ac:dyDescent="0.2">
      <c r="A155" s="84"/>
      <c r="B155" s="84"/>
      <c r="C155" s="84"/>
      <c r="D155" s="84"/>
      <c r="E155" s="84"/>
      <c r="F155" s="84"/>
      <c r="G155" s="84"/>
      <c r="H155" s="84"/>
      <c r="I155" s="84"/>
      <c r="J155" s="84"/>
      <c r="K155" s="84"/>
      <c r="L155" s="84"/>
      <c r="M155" s="84"/>
      <c r="N155" s="98"/>
      <c r="O155" s="98"/>
    </row>
    <row r="156" spans="1:15" s="69" customFormat="1" x14ac:dyDescent="0.2">
      <c r="A156" s="84"/>
      <c r="B156" s="84"/>
      <c r="C156" s="84"/>
      <c r="D156" s="84"/>
      <c r="E156" s="84"/>
      <c r="F156" s="84"/>
      <c r="G156" s="84"/>
      <c r="H156" s="84"/>
      <c r="I156" s="84"/>
      <c r="J156" s="84"/>
      <c r="K156" s="84"/>
      <c r="L156" s="84"/>
      <c r="M156" s="84"/>
      <c r="N156" s="98"/>
      <c r="O156" s="98"/>
    </row>
    <row r="157" spans="1:15" s="69" customFormat="1" x14ac:dyDescent="0.2">
      <c r="A157" s="84"/>
      <c r="B157" s="84"/>
      <c r="C157" s="84"/>
      <c r="D157" s="84"/>
      <c r="E157" s="84"/>
      <c r="F157" s="84"/>
      <c r="G157" s="84"/>
      <c r="H157" s="84"/>
      <c r="I157" s="84"/>
      <c r="J157" s="84"/>
      <c r="K157" s="84"/>
      <c r="L157" s="84"/>
      <c r="M157" s="84"/>
      <c r="N157" s="98"/>
      <c r="O157" s="98"/>
    </row>
    <row r="158" spans="1:15" s="69" customFormat="1" x14ac:dyDescent="0.2">
      <c r="A158" s="84"/>
      <c r="B158" s="84"/>
      <c r="C158" s="84"/>
      <c r="D158" s="84"/>
      <c r="E158" s="84"/>
      <c r="F158" s="84"/>
      <c r="G158" s="84"/>
      <c r="H158" s="84"/>
      <c r="I158" s="84"/>
      <c r="J158" s="84"/>
      <c r="K158" s="84"/>
      <c r="L158" s="84"/>
      <c r="M158" s="84"/>
      <c r="N158" s="98"/>
      <c r="O158" s="98"/>
    </row>
    <row r="159" spans="1:15" s="69" customFormat="1" x14ac:dyDescent="0.2">
      <c r="A159" s="84"/>
      <c r="B159" s="84"/>
      <c r="C159" s="84"/>
      <c r="D159" s="84"/>
      <c r="E159" s="84"/>
      <c r="F159" s="84"/>
      <c r="G159" s="84"/>
      <c r="H159" s="84"/>
      <c r="I159" s="84"/>
      <c r="J159" s="84"/>
      <c r="K159" s="84"/>
      <c r="L159" s="84"/>
      <c r="M159" s="84"/>
      <c r="N159" s="98"/>
      <c r="O159" s="98"/>
    </row>
    <row r="160" spans="1:15" s="69" customFormat="1" x14ac:dyDescent="0.2">
      <c r="A160" s="84"/>
      <c r="B160" s="84"/>
      <c r="C160" s="84"/>
      <c r="D160" s="84"/>
      <c r="E160" s="84"/>
      <c r="F160" s="84"/>
      <c r="G160" s="84"/>
      <c r="H160" s="84"/>
      <c r="I160" s="84"/>
      <c r="J160" s="84"/>
      <c r="K160" s="84"/>
      <c r="L160" s="84"/>
      <c r="M160" s="84"/>
      <c r="N160" s="98"/>
      <c r="O160" s="98"/>
    </row>
    <row r="161" spans="1:15" s="69" customFormat="1" x14ac:dyDescent="0.2">
      <c r="A161" s="84"/>
      <c r="B161" s="84"/>
      <c r="C161" s="84"/>
      <c r="D161" s="84"/>
      <c r="E161" s="84"/>
      <c r="F161" s="84"/>
      <c r="G161" s="84"/>
      <c r="H161" s="84"/>
      <c r="I161" s="84"/>
      <c r="J161" s="84"/>
      <c r="K161" s="84"/>
      <c r="L161" s="84"/>
      <c r="M161" s="84"/>
      <c r="N161" s="98"/>
      <c r="O161" s="98"/>
    </row>
    <row r="162" spans="1:15" s="69" customFormat="1" x14ac:dyDescent="0.2">
      <c r="A162" s="84"/>
      <c r="B162" s="84"/>
      <c r="C162" s="84"/>
      <c r="D162" s="84"/>
      <c r="E162" s="84"/>
      <c r="F162" s="84"/>
      <c r="G162" s="84"/>
      <c r="H162" s="84"/>
      <c r="I162" s="84"/>
      <c r="J162" s="84"/>
      <c r="K162" s="84"/>
      <c r="L162" s="84"/>
      <c r="M162" s="84"/>
      <c r="N162" s="98"/>
      <c r="O162" s="98"/>
    </row>
    <row r="163" spans="1:15" s="69" customFormat="1" x14ac:dyDescent="0.2">
      <c r="A163" s="84"/>
      <c r="B163" s="84"/>
      <c r="C163" s="84"/>
      <c r="D163" s="84"/>
      <c r="E163" s="84"/>
      <c r="F163" s="84"/>
      <c r="G163" s="84"/>
      <c r="H163" s="84"/>
      <c r="I163" s="84"/>
      <c r="J163" s="84"/>
      <c r="K163" s="84"/>
      <c r="L163" s="84"/>
      <c r="M163" s="84"/>
      <c r="N163" s="98"/>
      <c r="O163" s="98"/>
    </row>
    <row r="164" spans="1:15" s="69" customFormat="1" x14ac:dyDescent="0.2">
      <c r="A164" s="84"/>
      <c r="B164" s="84"/>
      <c r="C164" s="84"/>
      <c r="D164" s="84"/>
      <c r="E164" s="84"/>
      <c r="F164" s="84"/>
      <c r="G164" s="84"/>
      <c r="H164" s="84"/>
      <c r="I164" s="84"/>
      <c r="J164" s="84"/>
      <c r="K164" s="84"/>
      <c r="L164" s="84"/>
      <c r="M164" s="84"/>
      <c r="N164" s="98"/>
      <c r="O164" s="98"/>
    </row>
    <row r="165" spans="1:15" s="69" customFormat="1" x14ac:dyDescent="0.2">
      <c r="A165" s="84"/>
      <c r="B165" s="84"/>
      <c r="C165" s="84"/>
      <c r="D165" s="84"/>
      <c r="E165" s="84"/>
      <c r="F165" s="84"/>
      <c r="G165" s="84"/>
      <c r="H165" s="84"/>
      <c r="I165" s="84"/>
      <c r="J165" s="84"/>
      <c r="K165" s="84"/>
      <c r="L165" s="84"/>
      <c r="M165" s="84"/>
      <c r="N165" s="98"/>
      <c r="O165" s="98"/>
    </row>
    <row r="166" spans="1:15" s="69" customFormat="1" x14ac:dyDescent="0.2">
      <c r="A166" s="84"/>
      <c r="B166" s="84"/>
      <c r="C166" s="84"/>
      <c r="D166" s="84"/>
      <c r="E166" s="84"/>
      <c r="F166" s="84"/>
      <c r="G166" s="84"/>
      <c r="H166" s="84"/>
      <c r="I166" s="84"/>
      <c r="J166" s="84"/>
      <c r="K166" s="84"/>
      <c r="L166" s="84"/>
      <c r="M166" s="84"/>
      <c r="N166" s="98"/>
      <c r="O166" s="98"/>
    </row>
    <row r="167" spans="1:15" s="69" customFormat="1" x14ac:dyDescent="0.2">
      <c r="A167" s="84"/>
      <c r="B167" s="84"/>
      <c r="C167" s="84"/>
      <c r="D167" s="84"/>
      <c r="E167" s="84"/>
      <c r="F167" s="84"/>
      <c r="G167" s="84"/>
      <c r="H167" s="84"/>
      <c r="I167" s="84"/>
      <c r="J167" s="84"/>
      <c r="K167" s="84"/>
      <c r="L167" s="84"/>
      <c r="M167" s="84"/>
      <c r="N167" s="98"/>
      <c r="O167" s="98"/>
    </row>
    <row r="168" spans="1:15" s="69" customFormat="1" x14ac:dyDescent="0.2">
      <c r="A168" s="84"/>
      <c r="B168" s="84"/>
      <c r="C168" s="84"/>
      <c r="D168" s="84"/>
      <c r="E168" s="84"/>
      <c r="F168" s="84"/>
      <c r="G168" s="84"/>
      <c r="H168" s="84"/>
      <c r="I168" s="84"/>
      <c r="J168" s="84"/>
      <c r="K168" s="84"/>
      <c r="L168" s="84"/>
      <c r="M168" s="84"/>
      <c r="N168" s="98"/>
      <c r="O168" s="98"/>
    </row>
    <row r="169" spans="1:15" s="69" customFormat="1" x14ac:dyDescent="0.2">
      <c r="A169" s="84"/>
      <c r="B169" s="84"/>
      <c r="C169" s="84"/>
      <c r="D169" s="84"/>
      <c r="E169" s="84"/>
      <c r="F169" s="84"/>
      <c r="G169" s="84"/>
      <c r="H169" s="84"/>
      <c r="I169" s="84"/>
      <c r="J169" s="84"/>
      <c r="K169" s="84"/>
      <c r="L169" s="84"/>
      <c r="M169" s="84"/>
      <c r="N169" s="98"/>
      <c r="O169" s="98"/>
    </row>
    <row r="170" spans="1:15" s="69" customFormat="1" x14ac:dyDescent="0.2">
      <c r="A170" s="84"/>
      <c r="B170" s="84"/>
      <c r="C170" s="84"/>
      <c r="D170" s="84"/>
      <c r="E170" s="84"/>
      <c r="F170" s="84"/>
      <c r="G170" s="84"/>
      <c r="H170" s="84"/>
      <c r="I170" s="84"/>
      <c r="J170" s="84"/>
      <c r="K170" s="84"/>
      <c r="L170" s="84"/>
      <c r="M170" s="84"/>
      <c r="N170" s="98"/>
      <c r="O170" s="98"/>
    </row>
    <row r="171" spans="1:15" s="69" customFormat="1" x14ac:dyDescent="0.2">
      <c r="A171" s="84"/>
      <c r="B171" s="84"/>
      <c r="C171" s="84"/>
      <c r="D171" s="84"/>
      <c r="E171" s="84"/>
      <c r="F171" s="84"/>
      <c r="G171" s="84"/>
      <c r="H171" s="84"/>
      <c r="I171" s="84"/>
      <c r="J171" s="84"/>
      <c r="K171" s="84"/>
      <c r="L171" s="84"/>
      <c r="M171" s="84"/>
      <c r="N171" s="98"/>
      <c r="O171" s="98"/>
    </row>
    <row r="172" spans="1:15" s="69" customFormat="1" x14ac:dyDescent="0.2">
      <c r="A172" s="84"/>
      <c r="B172" s="84"/>
      <c r="C172" s="84"/>
      <c r="D172" s="84"/>
      <c r="E172" s="84"/>
      <c r="F172" s="84"/>
      <c r="G172" s="84"/>
      <c r="H172" s="84"/>
      <c r="I172" s="84"/>
      <c r="J172" s="84"/>
      <c r="K172" s="84"/>
      <c r="L172" s="84"/>
      <c r="M172" s="84"/>
      <c r="N172" s="98"/>
      <c r="O172" s="98"/>
    </row>
    <row r="173" spans="1:15" s="69" customFormat="1" x14ac:dyDescent="0.2">
      <c r="A173" s="84"/>
      <c r="B173" s="84"/>
      <c r="C173" s="84"/>
      <c r="D173" s="84"/>
      <c r="E173" s="84"/>
      <c r="F173" s="84"/>
      <c r="G173" s="84"/>
      <c r="H173" s="84"/>
      <c r="I173" s="84"/>
      <c r="J173" s="84"/>
      <c r="K173" s="84"/>
      <c r="L173" s="84"/>
      <c r="M173" s="84"/>
      <c r="N173" s="98"/>
      <c r="O173" s="98"/>
    </row>
    <row r="174" spans="1:15" s="69" customFormat="1" x14ac:dyDescent="0.2">
      <c r="A174" s="84"/>
      <c r="B174" s="84"/>
      <c r="C174" s="84"/>
      <c r="D174" s="84"/>
      <c r="E174" s="84"/>
      <c r="F174" s="84"/>
      <c r="G174" s="84"/>
      <c r="H174" s="84"/>
      <c r="I174" s="84"/>
      <c r="J174" s="84"/>
      <c r="K174" s="84"/>
      <c r="L174" s="84"/>
      <c r="M174" s="84"/>
      <c r="N174" s="98"/>
      <c r="O174" s="98"/>
    </row>
    <row r="175" spans="1:15" s="69" customFormat="1" x14ac:dyDescent="0.2">
      <c r="A175" s="84"/>
      <c r="B175" s="84"/>
      <c r="C175" s="84"/>
      <c r="D175" s="84"/>
      <c r="E175" s="84"/>
      <c r="F175" s="84"/>
      <c r="G175" s="84"/>
      <c r="H175" s="84"/>
      <c r="I175" s="84"/>
      <c r="J175" s="84"/>
      <c r="K175" s="84"/>
      <c r="L175" s="84"/>
      <c r="M175" s="84"/>
      <c r="N175" s="98"/>
      <c r="O175" s="98"/>
    </row>
    <row r="176" spans="1:15" s="69" customFormat="1" x14ac:dyDescent="0.2">
      <c r="A176" s="84"/>
      <c r="B176" s="84"/>
      <c r="C176" s="84"/>
      <c r="D176" s="84"/>
      <c r="E176" s="84"/>
      <c r="F176" s="84"/>
      <c r="G176" s="84"/>
      <c r="H176" s="84"/>
      <c r="I176" s="84"/>
      <c r="J176" s="84"/>
      <c r="K176" s="84"/>
      <c r="L176" s="84"/>
      <c r="M176" s="84"/>
      <c r="N176" s="98"/>
      <c r="O176" s="98"/>
    </row>
    <row r="177" spans="1:15" s="69" customFormat="1" x14ac:dyDescent="0.2">
      <c r="A177" s="84"/>
      <c r="B177" s="84"/>
      <c r="C177" s="84"/>
      <c r="D177" s="84"/>
      <c r="E177" s="84"/>
      <c r="F177" s="84"/>
      <c r="G177" s="84"/>
      <c r="H177" s="84"/>
      <c r="I177" s="84"/>
      <c r="J177" s="84"/>
      <c r="K177" s="84"/>
      <c r="L177" s="84"/>
      <c r="M177" s="84"/>
      <c r="N177" s="98"/>
      <c r="O177" s="98"/>
    </row>
    <row r="178" spans="1:15" s="69" customFormat="1" x14ac:dyDescent="0.2">
      <c r="A178" s="84"/>
      <c r="B178" s="84"/>
      <c r="C178" s="84"/>
      <c r="D178" s="84"/>
      <c r="E178" s="84"/>
      <c r="F178" s="84"/>
      <c r="G178" s="84"/>
      <c r="H178" s="84"/>
      <c r="I178" s="84"/>
      <c r="J178" s="84"/>
      <c r="K178" s="84"/>
      <c r="L178" s="84"/>
      <c r="M178" s="84"/>
      <c r="N178" s="98"/>
      <c r="O178" s="98"/>
    </row>
    <row r="179" spans="1:15" s="69" customFormat="1" x14ac:dyDescent="0.2">
      <c r="A179" s="84"/>
      <c r="B179" s="84"/>
      <c r="C179" s="84"/>
      <c r="D179" s="84"/>
      <c r="E179" s="84"/>
      <c r="F179" s="84"/>
      <c r="G179" s="84"/>
      <c r="H179" s="84"/>
      <c r="I179" s="84"/>
      <c r="J179" s="84"/>
      <c r="K179" s="84"/>
      <c r="L179" s="84"/>
      <c r="M179" s="84"/>
      <c r="N179" s="98"/>
      <c r="O179" s="98"/>
    </row>
    <row r="180" spans="1:15" s="69" customFormat="1" x14ac:dyDescent="0.2">
      <c r="A180" s="84"/>
      <c r="B180" s="84"/>
      <c r="C180" s="84"/>
      <c r="D180" s="84"/>
      <c r="E180" s="84"/>
      <c r="F180" s="84"/>
      <c r="G180" s="84"/>
      <c r="H180" s="84"/>
      <c r="I180" s="84"/>
      <c r="J180" s="84"/>
      <c r="K180" s="84"/>
      <c r="L180" s="84"/>
      <c r="M180" s="84"/>
      <c r="N180" s="98"/>
      <c r="O180" s="98"/>
    </row>
  </sheetData>
  <mergeCells count="2">
    <mergeCell ref="P2:R2"/>
    <mergeCell ref="B1:I1"/>
  </mergeCells>
  <dataValidations count="4">
    <dataValidation type="list" allowBlank="1" showInputMessage="1" showErrorMessage="1" sqref="O4:O22">
      <formula1>"Proposed, Assigned, Inprogress, Complete, Cancelled"</formula1>
    </dataValidation>
    <dataValidation type="list" allowBlank="1" showInputMessage="1" showErrorMessage="1" sqref="L34:M65536 N111:N65536 C23:F65536">
      <formula1>"Simple,Average,Complex"</formula1>
    </dataValidation>
    <dataValidation type="list" allowBlank="1" showInputMessage="1" showErrorMessage="1" sqref="B30:B65536 B23:B24">
      <formula1>"High,Medium,Low"</formula1>
    </dataValidation>
    <dataValidation type="list" allowBlank="1" showInputMessage="1" showErrorMessage="1" sqref="O111:O65536">
      <formula1>"Functional, External Interface, User Interface,System Interface, Non functional"</formula1>
    </dataValidation>
  </dataValidations>
  <pageMargins left="0.25" right="0.25" top="0.25" bottom="0.25" header="0.5" footer="0.5"/>
  <pageSetup paperSize="5" scale="75" orientation="landscape" r:id="rId1"/>
  <headerFooter alignWithMargins="0">
    <oddFooter>Page &amp;P of &amp;N</oddFooter>
  </headerFooter>
  <drawing r:id="rId2"/>
  <legacyDrawing r:id="rId3"/>
  <oleObjects>
    <mc:AlternateContent xmlns:mc="http://schemas.openxmlformats.org/markup-compatibility/2006">
      <mc:Choice Requires="x14">
        <oleObject progId="Word.Document.8" shapeId="22529" r:id="rId4">
          <objectPr defaultSize="0" autoPict="0" r:id="rId5">
            <anchor moveWithCells="1" sizeWithCells="1">
              <from>
                <xdr:col>0</xdr:col>
                <xdr:colOff>0</xdr:colOff>
                <xdr:row>0</xdr:row>
                <xdr:rowOff>142875</xdr:rowOff>
              </from>
              <to>
                <xdr:col>0</xdr:col>
                <xdr:colOff>781050</xdr:colOff>
                <xdr:row>0</xdr:row>
                <xdr:rowOff>590550</xdr:rowOff>
              </to>
            </anchor>
          </objectPr>
        </oleObject>
      </mc:Choice>
      <mc:Fallback>
        <oleObject progId="Word.Document.8" shapeId="22529"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O7"/>
  <sheetViews>
    <sheetView workbookViewId="0">
      <selection activeCell="B1" sqref="B1:H1"/>
    </sheetView>
  </sheetViews>
  <sheetFormatPr defaultRowHeight="12.75" x14ac:dyDescent="0.2"/>
  <cols>
    <col min="1" max="1" width="12.140625" bestFit="1" customWidth="1"/>
    <col min="2" max="2" width="18.28515625" bestFit="1" customWidth="1"/>
    <col min="3" max="3" width="11" customWidth="1"/>
    <col min="4" max="4" width="10.85546875" bestFit="1" customWidth="1"/>
    <col min="5" max="5" width="16.85546875" bestFit="1" customWidth="1"/>
    <col min="6" max="6" width="18.5703125" customWidth="1"/>
    <col min="7" max="7" width="16.5703125" customWidth="1"/>
  </cols>
  <sheetData>
    <row r="1" spans="1:15" s="55" customFormat="1" ht="57" customHeight="1" thickBot="1" x14ac:dyDescent="0.25">
      <c r="B1" s="166" t="s">
        <v>126</v>
      </c>
      <c r="C1" s="167"/>
      <c r="D1" s="167"/>
      <c r="E1" s="167"/>
      <c r="F1" s="167"/>
      <c r="G1" s="167"/>
      <c r="H1" s="167"/>
      <c r="N1" s="56"/>
      <c r="O1" s="56"/>
    </row>
    <row r="2" spans="1:15" ht="16.5" thickTop="1" x14ac:dyDescent="0.25">
      <c r="A2" s="174" t="s">
        <v>96</v>
      </c>
      <c r="B2" s="175"/>
      <c r="C2" s="175"/>
      <c r="D2" s="175"/>
      <c r="E2" s="175"/>
      <c r="F2" s="176"/>
      <c r="G2" s="176"/>
    </row>
    <row r="3" spans="1:15" ht="38.25" x14ac:dyDescent="0.2">
      <c r="A3" s="100" t="s">
        <v>3</v>
      </c>
      <c r="B3" s="101"/>
      <c r="C3" s="68" t="s">
        <v>91</v>
      </c>
      <c r="D3" s="68" t="s">
        <v>97</v>
      </c>
      <c r="E3" s="68" t="s">
        <v>98</v>
      </c>
      <c r="F3" s="68" t="s">
        <v>99</v>
      </c>
      <c r="G3" s="68" t="s">
        <v>90</v>
      </c>
    </row>
    <row r="4" spans="1:15" x14ac:dyDescent="0.2">
      <c r="A4" s="102" t="str">
        <f>IF(B4 = "", "Not Assigned", "Release " &amp; B4)</f>
        <v>Release 1</v>
      </c>
      <c r="B4" s="102">
        <v>1</v>
      </c>
      <c r="C4" s="102">
        <f>SUMIF('Product - Release Tracking'!A$4:A$23,'Report Data'!B4,'Product - Release Tracking'!N$4:N$23)</f>
        <v>0</v>
      </c>
      <c r="D4" s="102">
        <f>'Product - Release Tracking'!N24-E4-G4</f>
        <v>0</v>
      </c>
      <c r="E4" s="102">
        <f>SUMIF('Product - Release Tracking'!A$4:A$23,'Report Data'!B4,'Product - Release Tracking'!P$4:P$23)</f>
        <v>0</v>
      </c>
      <c r="F4" s="102">
        <f>SUMIF('Product - Release Tracking'!A$4:A$23,'Report Data'!B4,'Product - Release Tracking'!Q$4:Q$23)</f>
        <v>0</v>
      </c>
      <c r="G4" s="102">
        <f>SUMIF('Product - Release Tracking'!A$4:A$23,'Report Data'!B4,'Product - Release Tracking'!R$4:R$23)</f>
        <v>0</v>
      </c>
    </row>
    <row r="5" spans="1:15" x14ac:dyDescent="0.2">
      <c r="A5" s="102" t="str">
        <f>IF(B5 = "", "Not Assigned", "Release " &amp; B5)</f>
        <v>Release 2</v>
      </c>
      <c r="B5" s="102">
        <v>2</v>
      </c>
      <c r="C5" s="102">
        <f>SUMIF('Product - Release Tracking'!A$4:A$23,'Report Data'!B5,'Product - Release Tracking'!N$4:N$23)</f>
        <v>0</v>
      </c>
      <c r="D5" s="102">
        <f>D4-E5-G5</f>
        <v>0</v>
      </c>
      <c r="E5" s="102">
        <f>SUMIF('Product - Release Tracking'!A$4:A$23,'Report Data'!B5,'Product - Release Tracking'!P$4:P$23)</f>
        <v>0</v>
      </c>
      <c r="F5" s="102">
        <f>SUMIF('Product - Release Tracking'!A$4:A$23,'Report Data'!B5,'Product - Release Tracking'!Q$4:Q$23)</f>
        <v>0</v>
      </c>
      <c r="G5" s="102">
        <f>SUMIF('Product - Release Tracking'!A$4:A$23,'Report Data'!B5,'Product - Release Tracking'!R$4:R$23)</f>
        <v>0</v>
      </c>
    </row>
    <row r="6" spans="1:15" x14ac:dyDescent="0.2">
      <c r="A6" s="102" t="str">
        <f>IF(B6 = "", "Not Assigned", "Release " &amp; B6)</f>
        <v>Release 3</v>
      </c>
      <c r="B6" s="102">
        <v>3</v>
      </c>
      <c r="C6" s="102">
        <f>SUMIF('Product - Release Tracking'!A$4:A$23,'Report Data'!B6,'Product - Release Tracking'!N$4:N$23)</f>
        <v>0</v>
      </c>
      <c r="D6" s="102">
        <f>D5-E6-G6</f>
        <v>0</v>
      </c>
      <c r="E6" s="102">
        <f>SUMIF('Product - Release Tracking'!A$4:A$23,'Report Data'!B6,'Product - Release Tracking'!P$4:P$23)</f>
        <v>0</v>
      </c>
      <c r="F6" s="102">
        <f>SUMIF('Product - Release Tracking'!A$4:A$23,'Report Data'!B6,'Product - Release Tracking'!Q$4:Q$23)</f>
        <v>0</v>
      </c>
      <c r="G6" s="102">
        <f>SUMIF('Product - Release Tracking'!A$4:A$23,'Report Data'!B6,'Product - Release Tracking'!R$4:R$23)</f>
        <v>0</v>
      </c>
    </row>
    <row r="7" spans="1:15" x14ac:dyDescent="0.2">
      <c r="A7" s="102" t="str">
        <f>IF(B7 = "", "Not Assigned", "Release " &amp; B7)</f>
        <v>Not Assigned</v>
      </c>
      <c r="B7" s="102" t="str">
        <f>""</f>
        <v/>
      </c>
      <c r="C7" s="102">
        <f>SUMIF('Product - Release Tracking'!A$4:A$23,'Report Data'!B7,'Product - Release Tracking'!N$4:N$23)</f>
        <v>0</v>
      </c>
      <c r="D7" s="102">
        <f>D6-E7-G7</f>
        <v>0</v>
      </c>
      <c r="E7" s="102">
        <f>SUMIF('Product - Release Tracking'!A$4:A$23,'Report Data'!B7,'Product - Release Tracking'!P$4:P$23)</f>
        <v>0</v>
      </c>
      <c r="F7" s="102">
        <f>SUMIF('Product - Release Tracking'!A$4:A$23,'Report Data'!B7,'Product - Release Tracking'!Q$4:Q$23)</f>
        <v>0</v>
      </c>
      <c r="G7" s="102">
        <f>SUMIF('Product - Release Tracking'!A$4:A$23,'Report Data'!B7,'Product - Release Tracking'!R$4:R$23)</f>
        <v>0</v>
      </c>
    </row>
  </sheetData>
  <mergeCells count="2">
    <mergeCell ref="B1:H1"/>
    <mergeCell ref="A2:G2"/>
  </mergeCells>
  <dataValidations disablePrompts="1" count="2">
    <dataValidation type="list" allowBlank="1" showInputMessage="1" showErrorMessage="1" sqref="H1">
      <formula1>"Functional, External Interface, User Interface,System Interface, Non functional"</formula1>
    </dataValidation>
    <dataValidation type="list" allowBlank="1" showInputMessage="1" showErrorMessage="1" sqref="D1:G1">
      <formula1>"Simple,Average,Complex"</formula1>
    </dataValidation>
  </dataValidations>
  <pageMargins left="0.75" right="0.75" top="1" bottom="1" header="0.5" footer="0.5"/>
  <pageSetup orientation="portrait" r:id="rId1"/>
  <headerFooter alignWithMargins="0"/>
  <drawing r:id="rId2"/>
  <legacyDrawing r:id="rId3"/>
  <oleObjects>
    <mc:AlternateContent xmlns:mc="http://schemas.openxmlformats.org/markup-compatibility/2006">
      <mc:Choice Requires="x14">
        <oleObject progId="Word.Document.8" shapeId="23553" r:id="rId4">
          <objectPr defaultSize="0" autoPict="0" r:id="rId5">
            <anchor moveWithCells="1" sizeWithCells="1">
              <from>
                <xdr:col>0</xdr:col>
                <xdr:colOff>0</xdr:colOff>
                <xdr:row>0</xdr:row>
                <xdr:rowOff>142875</xdr:rowOff>
              </from>
              <to>
                <xdr:col>0</xdr:col>
                <xdr:colOff>781050</xdr:colOff>
                <xdr:row>0</xdr:row>
                <xdr:rowOff>590550</xdr:rowOff>
              </to>
            </anchor>
          </objectPr>
        </oleObject>
      </mc:Choice>
      <mc:Fallback>
        <oleObject progId="Word.Document.8" shapeId="23553"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fitToPage="1"/>
  </sheetPr>
  <dimension ref="A1:J18"/>
  <sheetViews>
    <sheetView zoomScaleNormal="100" workbookViewId="0">
      <selection activeCell="H15" sqref="H15"/>
    </sheetView>
  </sheetViews>
  <sheetFormatPr defaultRowHeight="12.75" x14ac:dyDescent="0.2"/>
  <cols>
    <col min="1" max="1" width="16" style="34" customWidth="1"/>
    <col min="2" max="5" width="20.7109375" style="34" customWidth="1"/>
    <col min="6" max="6" width="9.140625" style="34"/>
    <col min="7" max="7" width="21.42578125" style="34" customWidth="1"/>
    <col min="8" max="8" width="21.28515625" style="34" customWidth="1"/>
    <col min="9" max="16384" width="9.140625" style="34"/>
  </cols>
  <sheetData>
    <row r="1" spans="1:10" s="104" customFormat="1" ht="57" customHeight="1" thickBot="1" x14ac:dyDescent="0.25">
      <c r="A1" s="103"/>
      <c r="B1" s="177" t="s">
        <v>127</v>
      </c>
      <c r="C1" s="178"/>
      <c r="D1" s="178"/>
      <c r="E1" s="178"/>
      <c r="F1" s="179"/>
    </row>
    <row r="2" spans="1:10" ht="13.5" thickTop="1" x14ac:dyDescent="0.2"/>
    <row r="4" spans="1:10" ht="15" x14ac:dyDescent="0.2">
      <c r="B4" s="105"/>
      <c r="C4" s="180" t="s">
        <v>104</v>
      </c>
      <c r="D4" s="180"/>
      <c r="E4" s="180"/>
      <c r="F4" s="180"/>
      <c r="G4" s="181"/>
      <c r="H4" s="181"/>
      <c r="I4" s="181"/>
      <c r="J4" s="181"/>
    </row>
    <row r="5" spans="1:10" ht="38.25" x14ac:dyDescent="0.2">
      <c r="B5" s="37" t="s">
        <v>105</v>
      </c>
      <c r="C5" s="37" t="s">
        <v>106</v>
      </c>
      <c r="D5" s="37" t="s">
        <v>107</v>
      </c>
      <c r="E5" s="37" t="s">
        <v>108</v>
      </c>
      <c r="F5" s="37" t="s">
        <v>109</v>
      </c>
      <c r="G5" s="37" t="s">
        <v>110</v>
      </c>
      <c r="H5" s="37" t="s">
        <v>111</v>
      </c>
      <c r="I5" s="37" t="s">
        <v>112</v>
      </c>
      <c r="J5" s="106"/>
    </row>
    <row r="6" spans="1:10" x14ac:dyDescent="0.2">
      <c r="B6" s="108">
        <v>1</v>
      </c>
      <c r="C6" s="108">
        <v>4</v>
      </c>
      <c r="D6" s="108">
        <v>8</v>
      </c>
      <c r="E6" s="108">
        <v>8</v>
      </c>
      <c r="F6" s="108">
        <v>20</v>
      </c>
      <c r="G6" s="108">
        <v>4</v>
      </c>
      <c r="H6" s="108">
        <f>F6/G6</f>
        <v>5</v>
      </c>
      <c r="I6" s="108">
        <v>1</v>
      </c>
      <c r="J6" s="108"/>
    </row>
    <row r="7" spans="1:10" x14ac:dyDescent="0.2">
      <c r="B7" s="108">
        <v>2</v>
      </c>
      <c r="C7" s="108">
        <v>8</v>
      </c>
      <c r="D7" s="108">
        <v>4</v>
      </c>
      <c r="E7" s="108">
        <v>3</v>
      </c>
      <c r="F7" s="108">
        <v>15</v>
      </c>
      <c r="G7" s="108">
        <v>6</v>
      </c>
      <c r="H7" s="108">
        <f>F7/G7</f>
        <v>2.5</v>
      </c>
      <c r="I7" s="108">
        <v>3</v>
      </c>
      <c r="J7" s="108"/>
    </row>
    <row r="8" spans="1:10" x14ac:dyDescent="0.2">
      <c r="B8" s="108">
        <v>3</v>
      </c>
      <c r="C8" s="108">
        <v>6</v>
      </c>
      <c r="D8" s="108">
        <v>6</v>
      </c>
      <c r="E8" s="108">
        <v>6</v>
      </c>
      <c r="F8" s="108">
        <v>18</v>
      </c>
      <c r="G8" s="108">
        <v>5</v>
      </c>
      <c r="H8" s="108">
        <f>F8/G8</f>
        <v>3.6</v>
      </c>
      <c r="I8" s="108">
        <v>2</v>
      </c>
      <c r="J8" s="108"/>
    </row>
    <row r="9" spans="1:10" x14ac:dyDescent="0.2">
      <c r="B9" s="138"/>
      <c r="C9" s="138"/>
      <c r="D9" s="138"/>
      <c r="E9" s="138"/>
      <c r="F9" s="138"/>
      <c r="G9" s="138"/>
      <c r="H9" s="138"/>
      <c r="I9" s="138"/>
      <c r="J9" s="107"/>
    </row>
    <row r="10" spans="1:10" x14ac:dyDescent="0.2">
      <c r="B10" s="107"/>
      <c r="C10" s="107"/>
      <c r="D10" s="107"/>
      <c r="E10" s="107"/>
      <c r="F10" s="107"/>
      <c r="G10" s="107"/>
      <c r="H10" s="107"/>
      <c r="I10" s="107"/>
      <c r="J10" s="107"/>
    </row>
    <row r="11" spans="1:10" x14ac:dyDescent="0.2">
      <c r="B11" s="107"/>
      <c r="C11" s="107"/>
      <c r="D11" s="107"/>
      <c r="E11" s="107"/>
      <c r="F11" s="107"/>
      <c r="G11" s="107"/>
      <c r="H11" s="107"/>
      <c r="I11" s="107"/>
      <c r="J11" s="107"/>
    </row>
    <row r="12" spans="1:10" x14ac:dyDescent="0.2">
      <c r="B12" s="107"/>
      <c r="C12" s="107"/>
      <c r="D12" s="107"/>
      <c r="E12" s="107"/>
      <c r="F12" s="107"/>
      <c r="G12" s="107"/>
      <c r="H12" s="107"/>
      <c r="I12" s="107"/>
      <c r="J12" s="107"/>
    </row>
    <row r="13" spans="1:10" x14ac:dyDescent="0.2">
      <c r="B13" s="107"/>
      <c r="C13" s="107"/>
      <c r="D13" s="107"/>
      <c r="E13" s="107"/>
      <c r="F13" s="107"/>
      <c r="G13" s="107"/>
      <c r="H13" s="107"/>
      <c r="I13" s="107"/>
      <c r="J13" s="107"/>
    </row>
    <row r="14" spans="1:10" x14ac:dyDescent="0.2">
      <c r="B14" s="107"/>
      <c r="C14" s="107"/>
      <c r="D14" s="107"/>
      <c r="E14" s="107"/>
      <c r="F14" s="107"/>
      <c r="G14" s="107"/>
      <c r="H14" s="107"/>
      <c r="I14" s="107"/>
      <c r="J14" s="107"/>
    </row>
    <row r="15" spans="1:10" x14ac:dyDescent="0.2">
      <c r="B15" s="107"/>
      <c r="C15" s="107"/>
      <c r="D15" s="107"/>
      <c r="E15" s="107"/>
      <c r="F15" s="107"/>
      <c r="G15" s="107"/>
      <c r="H15" s="107"/>
      <c r="I15" s="107"/>
      <c r="J15" s="107"/>
    </row>
    <row r="16" spans="1:10" x14ac:dyDescent="0.2">
      <c r="B16" s="107"/>
      <c r="C16" s="107"/>
      <c r="D16" s="107"/>
      <c r="E16" s="107"/>
      <c r="F16" s="107"/>
      <c r="G16" s="107"/>
      <c r="H16" s="107"/>
      <c r="I16" s="107"/>
      <c r="J16" s="107"/>
    </row>
    <row r="17" spans="2:10" x14ac:dyDescent="0.2">
      <c r="B17" s="107"/>
      <c r="C17" s="107"/>
      <c r="D17" s="107"/>
      <c r="E17" s="107"/>
      <c r="F17" s="107"/>
      <c r="G17" s="107"/>
      <c r="H17" s="107"/>
      <c r="I17" s="107"/>
      <c r="J17" s="107"/>
    </row>
    <row r="18" spans="2:10" x14ac:dyDescent="0.2">
      <c r="B18" s="107"/>
      <c r="C18" s="107"/>
      <c r="D18" s="107"/>
      <c r="E18" s="107"/>
      <c r="F18" s="107"/>
      <c r="G18" s="107"/>
      <c r="H18" s="107"/>
      <c r="I18" s="107"/>
      <c r="J18" s="107"/>
    </row>
  </sheetData>
  <mergeCells count="3">
    <mergeCell ref="B1:F1"/>
    <mergeCell ref="C4:F4"/>
    <mergeCell ref="G4:J4"/>
  </mergeCells>
  <pageMargins left="0.28000000000000003" right="0.35" top="0.55000000000000004" bottom="0.52" header="0.25" footer="0.3"/>
  <pageSetup paperSize="9" orientation="landscape" r:id="rId1"/>
  <headerFooter alignWithMargins="0">
    <oddFooter>&amp;RPage &amp;P of &amp;N</oddFooter>
  </headerFooter>
  <drawing r:id="rId2"/>
  <legacyDrawing r:id="rId3"/>
  <oleObjects>
    <mc:AlternateContent xmlns:mc="http://schemas.openxmlformats.org/markup-compatibility/2006">
      <mc:Choice Requires="x14">
        <oleObject progId="Word.Document.8" shapeId="28673" r:id="rId4">
          <objectPr defaultSize="0" autoPict="0" r:id="rId5">
            <anchor moveWithCells="1" sizeWithCells="1">
              <from>
                <xdr:col>0</xdr:col>
                <xdr:colOff>0</xdr:colOff>
                <xdr:row>0</xdr:row>
                <xdr:rowOff>142875</xdr:rowOff>
              </from>
              <to>
                <xdr:col>0</xdr:col>
                <xdr:colOff>1019175</xdr:colOff>
                <xdr:row>0</xdr:row>
                <xdr:rowOff>590550</xdr:rowOff>
              </to>
            </anchor>
          </objectPr>
        </oleObject>
      </mc:Choice>
      <mc:Fallback>
        <oleObject progId="Word.Document.8" shapeId="28673" r:id="rId4"/>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F16"/>
  <sheetViews>
    <sheetView tabSelected="1" zoomScaleNormal="100" workbookViewId="0">
      <selection sqref="A1:F1"/>
    </sheetView>
  </sheetViews>
  <sheetFormatPr defaultRowHeight="12.75" x14ac:dyDescent="0.2"/>
  <cols>
    <col min="1" max="1" width="15.85546875" style="32" customWidth="1"/>
    <col min="2" max="2" width="13.140625" style="32" customWidth="1"/>
    <col min="3" max="3" width="15.5703125" style="32" customWidth="1"/>
    <col min="4" max="4" width="16.140625" style="46" customWidth="1"/>
    <col min="5" max="5" width="27.85546875" style="32" customWidth="1"/>
    <col min="6" max="16384" width="9.140625" style="32"/>
  </cols>
  <sheetData>
    <row r="1" spans="1:6" s="49" customFormat="1" ht="57" customHeight="1" thickBot="1" x14ac:dyDescent="0.25">
      <c r="A1" s="182" t="s">
        <v>6</v>
      </c>
      <c r="B1" s="182"/>
      <c r="C1" s="182"/>
      <c r="D1" s="182"/>
      <c r="E1" s="182"/>
      <c r="F1" s="183"/>
    </row>
    <row r="2" spans="1:6" s="33" customFormat="1" ht="24" thickTop="1" x14ac:dyDescent="0.2">
      <c r="A2" s="31"/>
      <c r="B2" s="32"/>
      <c r="C2" s="32"/>
      <c r="D2" s="46"/>
      <c r="E2" s="32"/>
    </row>
    <row r="3" spans="1:6" x14ac:dyDescent="0.2">
      <c r="A3" s="184" t="s">
        <v>7</v>
      </c>
      <c r="B3" s="184"/>
      <c r="C3" s="184"/>
      <c r="D3" s="184"/>
      <c r="E3" s="184"/>
    </row>
    <row r="4" spans="1:6" x14ac:dyDescent="0.2">
      <c r="A4" s="34"/>
    </row>
    <row r="5" spans="1:6" x14ac:dyDescent="0.2">
      <c r="A5" s="37" t="s">
        <v>1</v>
      </c>
      <c r="B5" s="187" t="s">
        <v>18</v>
      </c>
      <c r="C5" s="188"/>
      <c r="D5" s="188"/>
      <c r="E5" s="189"/>
    </row>
    <row r="6" spans="1:6" x14ac:dyDescent="0.2">
      <c r="A6" s="35" t="s">
        <v>8</v>
      </c>
      <c r="B6" s="190" t="s">
        <v>21</v>
      </c>
      <c r="C6" s="191"/>
      <c r="D6" s="191"/>
      <c r="E6" s="192"/>
    </row>
    <row r="7" spans="1:6" x14ac:dyDescent="0.2">
      <c r="A7" s="185" t="s">
        <v>16</v>
      </c>
      <c r="B7" s="45" t="s">
        <v>11</v>
      </c>
      <c r="C7" s="45" t="s">
        <v>12</v>
      </c>
      <c r="D7" s="47" t="s">
        <v>13</v>
      </c>
      <c r="E7" s="45" t="s">
        <v>14</v>
      </c>
    </row>
    <row r="8" spans="1:6" x14ac:dyDescent="0.2">
      <c r="A8" s="185"/>
      <c r="B8" s="36"/>
      <c r="C8" s="36"/>
      <c r="D8" s="48"/>
      <c r="E8" s="36"/>
    </row>
    <row r="9" spans="1:6" x14ac:dyDescent="0.2">
      <c r="A9" s="185"/>
      <c r="B9" s="36"/>
      <c r="C9" s="36"/>
      <c r="D9" s="48"/>
      <c r="E9" s="36"/>
    </row>
    <row r="10" spans="1:6" x14ac:dyDescent="0.2">
      <c r="A10" s="185"/>
      <c r="B10" s="36"/>
      <c r="C10" s="36"/>
      <c r="D10" s="48"/>
      <c r="E10" s="36"/>
    </row>
    <row r="11" spans="1:6" x14ac:dyDescent="0.2">
      <c r="A11" s="186"/>
      <c r="B11" s="36"/>
      <c r="C11" s="36"/>
      <c r="D11" s="48"/>
      <c r="E11" s="36"/>
    </row>
    <row r="12" spans="1:6" x14ac:dyDescent="0.2">
      <c r="A12" s="185" t="s">
        <v>15</v>
      </c>
      <c r="B12" s="45" t="s">
        <v>11</v>
      </c>
      <c r="C12" s="45" t="s">
        <v>12</v>
      </c>
      <c r="D12" s="47" t="s">
        <v>13</v>
      </c>
      <c r="E12" s="45" t="s">
        <v>14</v>
      </c>
    </row>
    <row r="13" spans="1:6" x14ac:dyDescent="0.2">
      <c r="A13" s="185"/>
      <c r="B13" s="36"/>
      <c r="C13" s="36"/>
      <c r="D13" s="48"/>
      <c r="E13" s="36"/>
    </row>
    <row r="14" spans="1:6" x14ac:dyDescent="0.2">
      <c r="A14" s="185"/>
      <c r="B14" s="36"/>
      <c r="C14" s="36"/>
      <c r="D14" s="48"/>
      <c r="E14" s="36"/>
    </row>
    <row r="15" spans="1:6" x14ac:dyDescent="0.2">
      <c r="A15" s="185"/>
      <c r="B15" s="36"/>
      <c r="C15" s="36"/>
      <c r="D15" s="48"/>
      <c r="E15" s="36"/>
    </row>
    <row r="16" spans="1:6" x14ac:dyDescent="0.2">
      <c r="A16" s="186"/>
      <c r="B16" s="36"/>
      <c r="C16" s="36"/>
      <c r="D16" s="48"/>
      <c r="E16" s="36"/>
    </row>
  </sheetData>
  <mergeCells count="6">
    <mergeCell ref="A1:F1"/>
    <mergeCell ref="A3:E3"/>
    <mergeCell ref="A12:A16"/>
    <mergeCell ref="B5:E5"/>
    <mergeCell ref="B6:E6"/>
    <mergeCell ref="A7:A11"/>
  </mergeCells>
  <phoneticPr fontId="0" type="noConversion"/>
  <pageMargins left="0.75" right="0.75" top="1" bottom="1" header="0.5" footer="0.5"/>
  <pageSetup scale="93" orientation="portrait" horizontalDpi="96" verticalDpi="96" r:id="rId1"/>
  <headerFooter alignWithMargins="0">
    <oddFooter>&amp;RPage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ocTitle xmlns="5349db9c-67ed-4999-a121-efc56dbedff2">Product Backlog</DocTitle>
    <IsCommon xmlns="5349db9c-67ed-4999-a121-efc56dbedff2">No</IsCommon>
    <IsRestricted xmlns="5349db9c-67ed-4999-a121-efc56dbedff2">No</IsRestricted>
    <DocVersion xmlns="5349db9c-67ed-4999-a121-efc56dbedff2">2.0.0</DocVersion>
  </documentManagement>
</p:properties>
</file>

<file path=customXml/item3.xml><?xml version="1.0" encoding="utf-8"?>
<LongProperties xmlns="http://schemas.microsoft.com/office/2006/metadata/longProperties">
  <LongProp xmlns="" name="PIPDescription"><![CDATA[Agile Process has been updated with Daikibo and SAFe framework. Accordingly the following artifacts are updated with Agile Release Plan Generator Product Backlog Checklist for Release Planning Agile Metrics Model Tailoring Guideline - Cognizant Agile Process Guideline for Daikibo Framework]]></LongProp>
</LongProperties>
</file>

<file path=customXml/item4.xml><?xml version="1.0" encoding="utf-8"?>
<ct:contentTypeSchema xmlns:ct="http://schemas.microsoft.com/office/2006/metadata/contentType" xmlns:ma="http://schemas.microsoft.com/office/2006/metadata/properties/metaAttributes" ct:_="" ma:_="" ma:contentTypeName="Document" ma:contentTypeID="0x01010008488DDF754E534294A033E685BB7BB2" ma:contentTypeVersion="4" ma:contentTypeDescription="Create a new document." ma:contentTypeScope="" ma:versionID="421cce1b2cc05ec777d56904f32029b4">
  <xsd:schema xmlns:xsd="http://www.w3.org/2001/XMLSchema" xmlns:xs="http://www.w3.org/2001/XMLSchema" xmlns:p="http://schemas.microsoft.com/office/2006/metadata/properties" xmlns:ns2="5349db9c-67ed-4999-a121-efc56dbedff2" targetNamespace="http://schemas.microsoft.com/office/2006/metadata/properties" ma:root="true" ma:fieldsID="59f85a3b93e118046a5ca43cd30d2e6b" ns2:_="">
    <xsd:import namespace="5349db9c-67ed-4999-a121-efc56dbedff2"/>
    <xsd:element name="properties">
      <xsd:complexType>
        <xsd:sequence>
          <xsd:element name="documentManagement">
            <xsd:complexType>
              <xsd:all>
                <xsd:element ref="ns2:IsCommon" minOccurs="0"/>
                <xsd:element ref="ns2:DocVersion" minOccurs="0"/>
                <xsd:element ref="ns2:DocTitle" minOccurs="0"/>
                <xsd:element ref="ns2:IsRestricte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49db9c-67ed-4999-a121-efc56dbedff2" elementFormDefault="qualified">
    <xsd:import namespace="http://schemas.microsoft.com/office/2006/documentManagement/types"/>
    <xsd:import namespace="http://schemas.microsoft.com/office/infopath/2007/PartnerControls"/>
    <xsd:element name="IsCommon" ma:index="8" nillable="true" ma:displayName="IsCommon" ma:default="No" ma:format="Dropdown" ma:internalName="IsCommon">
      <xsd:simpleType>
        <xsd:restriction base="dms:Choice">
          <xsd:enumeration value="No"/>
          <xsd:enumeration value="Yes"/>
        </xsd:restriction>
      </xsd:simpleType>
    </xsd:element>
    <xsd:element name="DocVersion" ma:index="9" nillable="true" ma:displayName="DocVersion" ma:internalName="DocVersion">
      <xsd:simpleType>
        <xsd:restriction base="dms:Text">
          <xsd:maxLength value="255"/>
        </xsd:restriction>
      </xsd:simpleType>
    </xsd:element>
    <xsd:element name="DocTitle" ma:index="10" nillable="true" ma:displayName="DocTitle" ma:internalName="DocTitle">
      <xsd:simpleType>
        <xsd:restriction base="dms:Text">
          <xsd:maxLength value="255"/>
        </xsd:restriction>
      </xsd:simpleType>
    </xsd:element>
    <xsd:element name="IsRestricted" ma:index="11" nillable="true" ma:displayName="IsRestricted" ma:default="No" ma:format="Dropdown" ma:internalName="IsRestricted">
      <xsd:simpleType>
        <xsd:restriction base="dms:Choice">
          <xsd:enumeration value="Yes"/>
          <xsd:enumeration value="No"/>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F11D9D-C7B8-4288-8F9C-B4F01751BE56}">
  <ds:schemaRefs>
    <ds:schemaRef ds:uri="http://schemas.microsoft.com/sharepoint/v3/contenttype/forms"/>
  </ds:schemaRefs>
</ds:datastoreItem>
</file>

<file path=customXml/itemProps2.xml><?xml version="1.0" encoding="utf-8"?>
<ds:datastoreItem xmlns:ds="http://schemas.openxmlformats.org/officeDocument/2006/customXml" ds:itemID="{3451E978-48B9-4D1F-809F-A4118E64D27B}">
  <ds:schemaRefs>
    <ds:schemaRef ds:uri="http://purl.org/dc/elements/1.1/"/>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5349db9c-67ed-4999-a121-efc56dbedff2"/>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3480BB77-980B-43DC-A421-1032363DCF0E}">
  <ds:schemaRefs>
    <ds:schemaRef ds:uri="http://schemas.microsoft.com/office/2006/metadata/longProperties"/>
    <ds:schemaRef ds:uri=""/>
  </ds:schemaRefs>
</ds:datastoreItem>
</file>

<file path=customXml/itemProps4.xml><?xml version="1.0" encoding="utf-8"?>
<ds:datastoreItem xmlns:ds="http://schemas.openxmlformats.org/officeDocument/2006/customXml" ds:itemID="{6F9DAA0A-A258-45A9-BA72-020218E5B5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49db9c-67ed-4999-a121-efc56dbedf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7</vt:i4>
      </vt:variant>
      <vt:variant>
        <vt:lpstr>Charts</vt:lpstr>
      </vt:variant>
      <vt:variant>
        <vt:i4>2</vt:i4>
      </vt:variant>
      <vt:variant>
        <vt:lpstr>Named Ranges</vt:lpstr>
      </vt:variant>
      <vt:variant>
        <vt:i4>3</vt:i4>
      </vt:variant>
    </vt:vector>
  </HeadingPairs>
  <TitlesOfParts>
    <vt:vector size="12" baseType="lpstr">
      <vt:lpstr>Cover Page</vt:lpstr>
      <vt:lpstr>Instructions</vt:lpstr>
      <vt:lpstr>Product Backlog</vt:lpstr>
      <vt:lpstr>Product - Release Tracking</vt:lpstr>
      <vt:lpstr>Report Data</vt:lpstr>
      <vt:lpstr>WSJF Technique</vt:lpstr>
      <vt:lpstr>Change Log</vt:lpstr>
      <vt:lpstr>Release Burn Down Chart</vt:lpstr>
      <vt:lpstr>Effort By Iteration</vt:lpstr>
      <vt:lpstr>'WSJF Technique'!Print_Area</vt:lpstr>
      <vt:lpstr>'Product - Release Tracking'!Print_Titles</vt:lpstr>
      <vt:lpstr>'Product Backlog'!Print_Titles</vt:lpstr>
    </vt:vector>
  </TitlesOfParts>
  <Manager>PEG Head</Manager>
  <Company>Cognizant Technology Solutions India Pvt.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Product Backlog</dc:title>
  <dc:subject>Product Backlog Template</dc:subject>
  <dc:creator>Cognizant Technology Solutions India Pvt. Ltd.</dc:creator>
  <cp:keywords>Product Backlog Template,Template</cp:keywords>
  <dc:description>Product Backlog Template</dc:description>
  <cp:lastModifiedBy>Windows User</cp:lastModifiedBy>
  <cp:lastPrinted>2009-03-20T06:16:48Z</cp:lastPrinted>
  <dcterms:created xsi:type="dcterms:W3CDTF">2002-07-31T11:12:35Z</dcterms:created>
  <dcterms:modified xsi:type="dcterms:W3CDTF">2019-04-30T07:22:25Z</dcterms:modified>
  <cp:category>AD</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ster Release Id: ">
    <vt:lpwstr>QTQP-TEMPE.xlt / 2.0.0 / 16-Mar-09</vt:lpwstr>
  </property>
  <property fmtid="{D5CDD505-2E9C-101B-9397-08002B2CF9AE}" pid="3" name="display_urn:schemas-microsoft-com:office:office#Editor">
    <vt:lpwstr>S, Madhumathi (Cognizant)</vt:lpwstr>
  </property>
  <property fmtid="{D5CDD505-2E9C-101B-9397-08002B2CF9AE}" pid="4" name="TemplateUrl">
    <vt:lpwstr/>
  </property>
  <property fmtid="{D5CDD505-2E9C-101B-9397-08002B2CF9AE}" pid="5" name="xd_ProgID">
    <vt:lpwstr/>
  </property>
  <property fmtid="{D5CDD505-2E9C-101B-9397-08002B2CF9AE}" pid="6" name="display_urn:schemas-microsoft-com:office:office#Author">
    <vt:lpwstr>S, Madhumathi (Cognizant)</vt:lpwstr>
  </property>
  <property fmtid="{D5CDD505-2E9C-101B-9397-08002B2CF9AE}" pid="7" name="_SourceUrl">
    <vt:lpwstr/>
  </property>
  <property fmtid="{D5CDD505-2E9C-101B-9397-08002B2CF9AE}" pid="8" name="_SharedFileIndex">
    <vt:lpwstr/>
  </property>
  <property fmtid="{D5CDD505-2E9C-101B-9397-08002B2CF9AE}" pid="9" name="Approver">
    <vt:lpwstr>214596;</vt:lpwstr>
  </property>
  <property fmtid="{D5CDD505-2E9C-101B-9397-08002B2CF9AE}" pid="10" name="Reviewed2On">
    <vt:lpwstr>2015-03-24T12:25:02Z</vt:lpwstr>
  </property>
  <property fmtid="{D5CDD505-2E9C-101B-9397-08002B2CF9AE}" pid="11" name="Approved2On">
    <vt:lpwstr>2015-03-20T15:40:34Z</vt:lpwstr>
  </property>
  <property fmtid="{D5CDD505-2E9C-101B-9397-08002B2CF9AE}" pid="12" name="Reviewed5On">
    <vt:lpwstr>2015-03-20T15:40:34Z</vt:lpwstr>
  </property>
  <property fmtid="{D5CDD505-2E9C-101B-9397-08002B2CF9AE}" pid="13" name="DocumentID">
    <vt:lpwstr>78853</vt:lpwstr>
  </property>
  <property fmtid="{D5CDD505-2E9C-101B-9397-08002B2CF9AE}" pid="14" name="Approved8By">
    <vt:lpwstr/>
  </property>
  <property fmtid="{D5CDD505-2E9C-101B-9397-08002B2CF9AE}" pid="15" name="Reviewed1By">
    <vt:lpwstr>320597</vt:lpwstr>
  </property>
  <property fmtid="{D5CDD505-2E9C-101B-9397-08002B2CF9AE}" pid="16" name="Reviewed8On">
    <vt:lpwstr>2015-03-20T15:40:34Z</vt:lpwstr>
  </property>
  <property fmtid="{D5CDD505-2E9C-101B-9397-08002B2CF9AE}" pid="17" name="Approved5On">
    <vt:lpwstr>2015-03-20T15:40:34Z</vt:lpwstr>
  </property>
  <property fmtid="{D5CDD505-2E9C-101B-9397-08002B2CF9AE}" pid="18" name="Approved1By">
    <vt:lpwstr>214596</vt:lpwstr>
  </property>
  <property fmtid="{D5CDD505-2E9C-101B-9397-08002B2CF9AE}" pid="19" name="Approved8On">
    <vt:lpwstr>2015-03-20T15:40:34Z</vt:lpwstr>
  </property>
  <property fmtid="{D5CDD505-2E9C-101B-9397-08002B2CF9AE}" pid="20" name="Reviewed4By">
    <vt:lpwstr/>
  </property>
  <property fmtid="{D5CDD505-2E9C-101B-9397-08002B2CF9AE}" pid="21" name="WorkflowGroupID">
    <vt:lpwstr>14268462310005029</vt:lpwstr>
  </property>
  <property fmtid="{D5CDD505-2E9C-101B-9397-08002B2CF9AE}" pid="22" name="WFID">
    <vt:lpwstr>14268462310025029</vt:lpwstr>
  </property>
  <property fmtid="{D5CDD505-2E9C-101B-9397-08002B2CF9AE}" pid="23" name="IsNewDoc">
    <vt:lpwstr>No</vt:lpwstr>
  </property>
  <property fmtid="{D5CDD505-2E9C-101B-9397-08002B2CF9AE}" pid="24" name="Approved4By">
    <vt:lpwstr/>
  </property>
  <property fmtid="{D5CDD505-2E9C-101B-9397-08002B2CF9AE}" pid="25" name="Reviewed7By">
    <vt:lpwstr/>
  </property>
  <property fmtid="{D5CDD505-2E9C-101B-9397-08002B2CF9AE}" pid="26" name="DevlopedOn">
    <vt:lpwstr>2015-03-20T15:40:34Z</vt:lpwstr>
  </property>
  <property fmtid="{D5CDD505-2E9C-101B-9397-08002B2CF9AE}" pid="27" name="Reviewed9On">
    <vt:lpwstr>2015-03-20T15:40:34Z</vt:lpwstr>
  </property>
  <property fmtid="{D5CDD505-2E9C-101B-9397-08002B2CF9AE}" pid="28" name="DocType">
    <vt:lpwstr>Template</vt:lpwstr>
  </property>
  <property fmtid="{D5CDD505-2E9C-101B-9397-08002B2CF9AE}" pid="29" name="Approved10On">
    <vt:lpwstr>2015-03-20T15:40:34Z</vt:lpwstr>
  </property>
  <property fmtid="{D5CDD505-2E9C-101B-9397-08002B2CF9AE}" pid="30" name="Reviewed2By">
    <vt:lpwstr>141506</vt:lpwstr>
  </property>
  <property fmtid="{D5CDD505-2E9C-101B-9397-08002B2CF9AE}" pid="31" name="Approved6On">
    <vt:lpwstr>2015-03-20T15:40:34Z</vt:lpwstr>
  </property>
  <property fmtid="{D5CDD505-2E9C-101B-9397-08002B2CF9AE}" pid="32" name="CheckedInAt">
    <vt:lpwstr>2015-03-23T18:12:39Z</vt:lpwstr>
  </property>
  <property fmtid="{D5CDD505-2E9C-101B-9397-08002B2CF9AE}" pid="33" name="Reviewed1On">
    <vt:lpwstr>2015-03-24T09:53:52Z</vt:lpwstr>
  </property>
  <property fmtid="{D5CDD505-2E9C-101B-9397-08002B2CF9AE}" pid="34" name="Approved2By">
    <vt:lpwstr/>
  </property>
  <property fmtid="{D5CDD505-2E9C-101B-9397-08002B2CF9AE}" pid="35" name="Approved7By">
    <vt:lpwstr/>
  </property>
  <property fmtid="{D5CDD505-2E9C-101B-9397-08002B2CF9AE}" pid="36" name="Reviewed4On">
    <vt:lpwstr>2015-03-20T15:40:34Z</vt:lpwstr>
  </property>
  <property fmtid="{D5CDD505-2E9C-101B-9397-08002B2CF9AE}" pid="37" name="Reviewer">
    <vt:lpwstr>141506;320597;</vt:lpwstr>
  </property>
  <property fmtid="{D5CDD505-2E9C-101B-9397-08002B2CF9AE}" pid="38" name="RTDocVersion">
    <vt:lpwstr/>
  </property>
  <property fmtid="{D5CDD505-2E9C-101B-9397-08002B2CF9AE}" pid="39" name="Reviewed5By">
    <vt:lpwstr/>
  </property>
  <property fmtid="{D5CDD505-2E9C-101B-9397-08002B2CF9AE}" pid="40" name="Reviewed7On">
    <vt:lpwstr>2015-03-20T15:40:34Z</vt:lpwstr>
  </property>
  <property fmtid="{D5CDD505-2E9C-101B-9397-08002B2CF9AE}" pid="41" name="Status">
    <vt:lpwstr>SentToRT</vt:lpwstr>
  </property>
  <property fmtid="{D5CDD505-2E9C-101B-9397-08002B2CF9AE}" pid="42" name="Approved4On">
    <vt:lpwstr>2015-03-20T15:40:34Z</vt:lpwstr>
  </property>
  <property fmtid="{D5CDD505-2E9C-101B-9397-08002B2CF9AE}" pid="43" name="Approved9On">
    <vt:lpwstr>2015-03-20T15:40:34Z</vt:lpwstr>
  </property>
  <property fmtid="{D5CDD505-2E9C-101B-9397-08002B2CF9AE}" pid="44" name="PIPDescription">
    <vt:lpwstr>Agile Process has been updated with Daikibo and SAFe framework. Accordingly the following artifacts are updated with Agile Release Plan Generator Product Backlog Checklist for Release Planning Agile Metrics Model Tailoring Guideline - Cognizant Agile Proc</vt:lpwstr>
  </property>
  <property fmtid="{D5CDD505-2E9C-101B-9397-08002B2CF9AE}" pid="45" name="Reviewed8By">
    <vt:lpwstr/>
  </property>
  <property fmtid="{D5CDD505-2E9C-101B-9397-08002B2CF9AE}" pid="46" name="Approved5By">
    <vt:lpwstr/>
  </property>
  <property fmtid="{D5CDD505-2E9C-101B-9397-08002B2CF9AE}" pid="47" name="PIPId">
    <vt:lpwstr>5029</vt:lpwstr>
  </property>
  <property fmtid="{D5CDD505-2E9C-101B-9397-08002B2CF9AE}" pid="48" name="Reviewed3By">
    <vt:lpwstr/>
  </property>
  <property fmtid="{D5CDD505-2E9C-101B-9397-08002B2CF9AE}" pid="49" name="Approved7On">
    <vt:lpwstr>2015-03-20T15:40:34Z</vt:lpwstr>
  </property>
  <property fmtid="{D5CDD505-2E9C-101B-9397-08002B2CF9AE}" pid="50" name="ReleaseTeam">
    <vt:lpwstr>320597</vt:lpwstr>
  </property>
  <property fmtid="{D5CDD505-2E9C-101B-9397-08002B2CF9AE}" pid="51" name="ApprovalsPendingWith">
    <vt:lpwstr/>
  </property>
  <property fmtid="{D5CDD505-2E9C-101B-9397-08002B2CF9AE}" pid="52" name="ProcessPackage">
    <vt:lpwstr>AD-OOAD</vt:lpwstr>
  </property>
  <property fmtid="{D5CDD505-2E9C-101B-9397-08002B2CF9AE}" pid="53" name="Reviewed6By">
    <vt:lpwstr/>
  </property>
  <property fmtid="{D5CDD505-2E9C-101B-9397-08002B2CF9AE}" pid="54" name="Approved3By">
    <vt:lpwstr/>
  </property>
  <property fmtid="{D5CDD505-2E9C-101B-9397-08002B2CF9AE}" pid="55" name="BaseURL">
    <vt:lpwstr>inc/docs/ApplicationDevelopment/QTAD-PBL.xls</vt:lpwstr>
  </property>
  <property fmtid="{D5CDD505-2E9C-101B-9397-08002B2CF9AE}" pid="56" name="Reviewed10By">
    <vt:lpwstr/>
  </property>
  <property fmtid="{D5CDD505-2E9C-101B-9397-08002B2CF9AE}" pid="57" name="Approved10By">
    <vt:lpwstr/>
  </property>
  <property fmtid="{D5CDD505-2E9C-101B-9397-08002B2CF9AE}" pid="58" name="Reviewed9By">
    <vt:lpwstr/>
  </property>
  <property fmtid="{D5CDD505-2E9C-101B-9397-08002B2CF9AE}" pid="59" name="Approved6By">
    <vt:lpwstr/>
  </property>
  <property fmtid="{D5CDD505-2E9C-101B-9397-08002B2CF9AE}" pid="60" name="Reviewed3On">
    <vt:lpwstr>2015-03-20T15:40:34Z</vt:lpwstr>
  </property>
  <property fmtid="{D5CDD505-2E9C-101B-9397-08002B2CF9AE}" pid="61" name="WFAuthor">
    <vt:lpwstr>193424;</vt:lpwstr>
  </property>
  <property fmtid="{D5CDD505-2E9C-101B-9397-08002B2CF9AE}" pid="62" name="ProcessOwner">
    <vt:lpwstr>214596</vt:lpwstr>
  </property>
  <property fmtid="{D5CDD505-2E9C-101B-9397-08002B2CF9AE}" pid="63" name="ApprovedOn">
    <vt:lpwstr>2015-03-30T15:27:34Z</vt:lpwstr>
  </property>
  <property fmtid="{D5CDD505-2E9C-101B-9397-08002B2CF9AE}" pid="64" name="Approved9By">
    <vt:lpwstr/>
  </property>
  <property fmtid="{D5CDD505-2E9C-101B-9397-08002B2CF9AE}" pid="65" name="Reviewed10On">
    <vt:lpwstr>2015-03-20T15:40:34Z</vt:lpwstr>
  </property>
  <property fmtid="{D5CDD505-2E9C-101B-9397-08002B2CF9AE}" pid="66" name="ReviewsPendingWith">
    <vt:lpwstr/>
  </property>
  <property fmtid="{D5CDD505-2E9C-101B-9397-08002B2CF9AE}" pid="67" name="Approved3On">
    <vt:lpwstr>2015-03-20T15:40:34Z</vt:lpwstr>
  </property>
  <property fmtid="{D5CDD505-2E9C-101B-9397-08002B2CF9AE}" pid="68" name="Reviewed6On">
    <vt:lpwstr>2015-03-20T15:40:34Z</vt:lpwstr>
  </property>
  <property fmtid="{D5CDD505-2E9C-101B-9397-08002B2CF9AE}" pid="69" name="WFDocName">
    <vt:lpwstr/>
  </property>
</Properties>
</file>